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kauan\Downloads\"/>
    </mc:Choice>
  </mc:AlternateContent>
  <xr:revisionPtr revIDLastSave="0" documentId="13_ncr:10000001_{578F58B6-FE3D-4459-878A-B1AE4EEF2E8F}" xr6:coauthVersionLast="47" xr6:coauthVersionMax="47" xr10:uidLastSave="{00000000-0000-0000-0000-000000000000}"/>
  <bookViews>
    <workbookView xWindow="-120" yWindow="-120" windowWidth="51840" windowHeight="21120" tabRatio="752" activeTab="3" xr2:uid="{1C4332DA-C515-4BF3-AA5D-AB818098A217}"/>
  </bookViews>
  <sheets>
    <sheet name="Assets" sheetId="2" r:id="rId1"/>
    <sheet name="Base" sheetId="3" r:id="rId2"/>
    <sheet name="Cálculos" sheetId="4" r:id="rId3"/>
    <sheet name="Dashboard" sheetId="5" r:id="rId4"/>
  </sheets>
  <definedNames>
    <definedName name="DadosExternos_1" localSheetId="1" hidden="1">Base!$A$1:$O$101</definedName>
    <definedName name="SegmentaçãodeDados_Categoria">#N/A</definedName>
    <definedName name="SegmentaçãodeDados_Desconto">#N/A</definedName>
    <definedName name="SegmentaçãodeDados_Forma_Pagamento">#N/A</definedName>
    <definedName name="SegmentaçãodeDados_Meses__Data_Venda">#N/A</definedName>
    <definedName name="SegmentaçãodeDados_Produto">#N/A</definedName>
    <definedName name="SegmentaçãodeDados_Status_Entrega">#N/A</definedName>
  </definedNames>
  <calcPr calcId="191029"/>
  <pivotCaches>
    <pivotCache cacheId="41" r:id="rId5"/>
  </pivotCaches>
  <fileRecoveryPr repairLoad="1"/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4" l="1"/>
  <c r="Y2" i="4"/>
  <c r="AE2" i="4"/>
  <c r="G2" i="4"/>
  <c r="J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ED1F3D-96F6-4682-A6D9-DCE325A917F0}" keepAlive="1" name="Consulta - Sheet1" description="Conexão com a consulta 'Sheet1' na pasta de trabalho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<sst xmlns="http://schemas.openxmlformats.org/spreadsheetml/2006/main" count="928" uniqueCount="82">
  <si>
    <t>Data_Venda</t>
  </si>
  <si>
    <t>Produto</t>
  </si>
  <si>
    <t>Categoria</t>
  </si>
  <si>
    <t>Região</t>
  </si>
  <si>
    <t>Vendedor</t>
  </si>
  <si>
    <t>Quantidade</t>
  </si>
  <si>
    <t>Valor_Total</t>
  </si>
  <si>
    <t>Forma_Pagamento</t>
  </si>
  <si>
    <t>Desconto</t>
  </si>
  <si>
    <t>Status_Entrega</t>
  </si>
  <si>
    <t>Observações</t>
  </si>
  <si>
    <t>Ana</t>
  </si>
  <si>
    <t>Entregue</t>
  </si>
  <si>
    <t>Entrega atrasada</t>
  </si>
  <si>
    <t>C. Oliveira</t>
  </si>
  <si>
    <t>Cancelado</t>
  </si>
  <si>
    <t>Mochila Escolar</t>
  </si>
  <si>
    <t>Roupas</t>
  </si>
  <si>
    <t>Cliente desistiu</t>
  </si>
  <si>
    <t>Acessórios</t>
  </si>
  <si>
    <t>Sudeste</t>
  </si>
  <si>
    <t>Carlos</t>
  </si>
  <si>
    <t>entregue</t>
  </si>
  <si>
    <t>Calçados</t>
  </si>
  <si>
    <t>A. Souza</t>
  </si>
  <si>
    <t>PIX</t>
  </si>
  <si>
    <t>Pendente</t>
  </si>
  <si>
    <t>Cliente pediu embalagem</t>
  </si>
  <si>
    <t>Sul</t>
  </si>
  <si>
    <t>Mochila Escolar Azul</t>
  </si>
  <si>
    <t>Boné Preto</t>
  </si>
  <si>
    <t>dez</t>
  </si>
  <si>
    <t>Boné Preto Azul</t>
  </si>
  <si>
    <t>Camiseta Azul</t>
  </si>
  <si>
    <t>Tênis Corrida Azul</t>
  </si>
  <si>
    <t>Calça Jeans Azul</t>
  </si>
  <si>
    <t>Tamanhos</t>
  </si>
  <si>
    <t>M</t>
  </si>
  <si>
    <t>CARTÃO</t>
  </si>
  <si>
    <t>Tênis Corrida</t>
  </si>
  <si>
    <t>Não informado</t>
  </si>
  <si>
    <t>Não Informado</t>
  </si>
  <si>
    <t>G</t>
  </si>
  <si>
    <t xml:space="preserve">Calça Jeans </t>
  </si>
  <si>
    <t>DINHEIRO</t>
  </si>
  <si>
    <t>P</t>
  </si>
  <si>
    <t>Calça Jeans Escolar</t>
  </si>
  <si>
    <t>Camiseta Azul Corrida</t>
  </si>
  <si>
    <t>Tênis Corrida Escolar</t>
  </si>
  <si>
    <t>Boné Preto Corrida</t>
  </si>
  <si>
    <t>Boné Preto Escolar</t>
  </si>
  <si>
    <t>Camiseta Azul Escolar</t>
  </si>
  <si>
    <t>Calça Jeans Corrida</t>
  </si>
  <si>
    <t>Mochila Escolar Corrida</t>
  </si>
  <si>
    <t>LOGOS</t>
  </si>
  <si>
    <t>PALETA DE CORES</t>
  </si>
  <si>
    <t>Graficos</t>
  </si>
  <si>
    <t>#FC7800</t>
  </si>
  <si>
    <t>#</t>
  </si>
  <si>
    <t>Zona morta</t>
  </si>
  <si>
    <t>#E8E6E9</t>
  </si>
  <si>
    <t>#be0000</t>
  </si>
  <si>
    <t>#1b1b1b</t>
  </si>
  <si>
    <t>Barra lateral</t>
  </si>
  <si>
    <t>Barra superior</t>
  </si>
  <si>
    <t>Preco_Unitário</t>
  </si>
  <si>
    <t>Valor_Desconto_Reais</t>
  </si>
  <si>
    <t>Valor_Pago</t>
  </si>
  <si>
    <t>Rótulos de Linha</t>
  </si>
  <si>
    <t>Total Geral</t>
  </si>
  <si>
    <t>Soma de Valor_Pago</t>
  </si>
  <si>
    <t>Rótulos de Coluna</t>
  </si>
  <si>
    <t>Soma de Valor_Total</t>
  </si>
  <si>
    <t>Contagem de Desconto</t>
  </si>
  <si>
    <t>Contagem de Produto</t>
  </si>
  <si>
    <t>set</t>
  </si>
  <si>
    <t>out</t>
  </si>
  <si>
    <t>nov</t>
  </si>
  <si>
    <t>Contagem de Categoria</t>
  </si>
  <si>
    <t>ICONES</t>
  </si>
  <si>
    <t>Relatório de Vendas</t>
  </si>
  <si>
    <t>Soma de Quantidade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</si>
</sst>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36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C7800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BE0000"/>
        <bgColor indexed="64"/>
      </patternFill>
    </fill>
    <fill>
      <patternFill patternType="solid">
        <fgColor rgb="FF1B1B1B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rgb="FFC00000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3" fillId="0" borderId="2" applyNumberFormat="0" applyFill="0" applyAlignment="0" applyProtection="0"/>
  </cellStyleXfs>
  <cellXfs count="32">
    <xf numFmtId="0" fontId="0" fillId="0" borderId="0" xfId="0"/>
    <xf numFmtId="14" fontId="0" fillId="0" borderId="0" xfId="0" applyNumberFormat="1"/>
    <xf numFmtId="10" fontId="0" fillId="0" borderId="0" xfId="0" applyNumberFormat="1"/>
    <xf numFmtId="44" fontId="0" fillId="0" borderId="0" xfId="1" applyFont="1"/>
    <xf numFmtId="1" fontId="0" fillId="0" borderId="0" xfId="0" applyNumberFormat="1"/>
    <xf numFmtId="49" fontId="0" fillId="0" borderId="0" xfId="0" applyNumberFormat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5" borderId="0" xfId="0" applyFill="1"/>
    <xf numFmtId="0" fontId="0" fillId="4" borderId="0" xfId="0" applyFill="1"/>
    <xf numFmtId="0" fontId="0" fillId="3" borderId="0" xfId="0" applyFill="1"/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8" fillId="5" borderId="15" xfId="2" applyFont="1" applyFill="1" applyBorder="1" applyAlignment="1">
      <alignment horizontal="center" vertical="center"/>
    </xf>
  </cellXfs>
  <cellStyles count="3">
    <cellStyle name="Moeda" xfId="1" builtinId="4"/>
    <cellStyle name="Normal" xfId="0" builtinId="0"/>
    <cellStyle name="Título 2" xfId="2" builtinId="17"/>
  </cellStyles>
  <dxfs count="17">
    <dxf>
      <numFmt numFmtId="30" formatCode="@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19" formatCode="dd/mm/yyyy"/>
    </dxf>
    <dxf>
      <font>
        <b/>
        <i val="0"/>
        <color theme="0"/>
      </font>
      <fill>
        <patternFill>
          <bgColor rgb="FFC00000"/>
        </patternFill>
      </fill>
      <border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rgb="FFC00000"/>
        </patternFill>
      </fill>
      <border>
        <left/>
        <right/>
        <top/>
        <bottom/>
        <vertical/>
        <horizontal/>
      </border>
    </dxf>
    <dxf>
      <font>
        <b/>
        <i val="0"/>
      </font>
      <fill>
        <patternFill>
          <bgColor rgb="FFFFFFFF"/>
        </patternFill>
      </fill>
      <border>
        <bottom style="thick">
          <color rgb="FFFC7800"/>
        </bottom>
      </border>
    </dxf>
  </dxfs>
  <tableStyles count="2" defaultTableStyle="TableStyleMedium2" defaultPivotStyle="PivotStyleLight16">
    <tableStyle name="Estilo de Segmentação de Dados 1" pivot="0" table="0" count="1" xr9:uid="{F395B0DD-79DB-44FF-8064-F3F409C77E63}">
      <tableStyleElement type="headerRow" dxfId="16"/>
    </tableStyle>
    <tableStyle name="SlicerStyleDark2 2" pivot="0" table="0" count="10" xr9:uid="{7870C68B-47C7-461C-B4F8-F69864A281CC}">
      <tableStyleElement type="wholeTable" dxfId="15"/>
      <tableStyleElement type="headerRow" dxfId="14"/>
    </tableStyle>
  </tableStyles>
  <colors>
    <mruColors>
      <color rgb="FFFF7C80"/>
      <color rgb="FFBE0000"/>
      <color rgb="FF1B1B1B"/>
      <color rgb="FFFFFFFF"/>
      <color rgb="FFFC7800"/>
      <color rgb="FFE8E6E9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5" tint="-0.249977111117893"/>
          </font>
          <fill>
            <patternFill patternType="solid">
              <fgColor theme="5" tint="0.59999389629810485"/>
              <bgColor theme="5" tint="0.59999389629810485"/>
            </patternFill>
          </fill>
          <border>
            <left style="thin">
              <color theme="5" tint="0.59999389629810485"/>
            </left>
            <right style="thin">
              <color theme="5" tint="0.59999389629810485"/>
            </right>
            <top style="thin">
              <color theme="5" tint="0.59999389629810485"/>
            </top>
            <bottom style="thin">
              <color theme="5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5"/>
              <bgColor rgb="FFFF7C80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SlicerStyleDark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microsoft.com/office/2007/relationships/slicerCache" Target="slicerCaches/slicerCache6.xml"/><Relationship Id="rId5" Type="http://schemas.openxmlformats.org/officeDocument/2006/relationships/pivotCacheDefinition" Target="pivotCache/pivotCacheDefinition1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5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[Pasta1 (version 1).xlsx]Cálculos!Tabela dinâmica1</c:name>
    <c:fmtId val="8"/>
  </c:pivotSource>
  <c:chart>
    <c:autoTitleDeleted val="1"/>
    <c:pivotFmts>
      <c:pivotFmt>
        <c:idx val="0"/>
        <c:spPr>
          <a:solidFill>
            <a:srgbClr val="FC7800"/>
          </a:solidFill>
          <a:ln>
            <a:solidFill>
              <a:srgbClr val="FC78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C7800"/>
          </a:solidFill>
          <a:ln>
            <a:solidFill>
              <a:srgbClr val="FC78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C7800"/>
          </a:solidFill>
          <a:ln>
            <a:solidFill>
              <a:srgbClr val="FC78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Cálculos!$B$1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C7800"/>
            </a:solidFill>
            <a:ln>
              <a:solidFill>
                <a:srgbClr val="FC78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Cálculos!$A$2:$A$19</c:f>
              <c:strCache>
                <c:ptCount val="17"/>
                <c:pt idx="0">
                  <c:v>Boné Preto</c:v>
                </c:pt>
                <c:pt idx="1">
                  <c:v>Boné Preto Azul</c:v>
                </c:pt>
                <c:pt idx="2">
                  <c:v>Boné Preto Corrida</c:v>
                </c:pt>
                <c:pt idx="3">
                  <c:v>Boné Preto Escolar</c:v>
                </c:pt>
                <c:pt idx="4">
                  <c:v>Calça Jeans </c:v>
                </c:pt>
                <c:pt idx="5">
                  <c:v>Calça Jeans Azul</c:v>
                </c:pt>
                <c:pt idx="6">
                  <c:v>Calça Jeans Corrida</c:v>
                </c:pt>
                <c:pt idx="7">
                  <c:v>Calça Jeans Escolar</c:v>
                </c:pt>
                <c:pt idx="8">
                  <c:v>Camiseta Azul</c:v>
                </c:pt>
                <c:pt idx="9">
                  <c:v>Camiseta Azul Corrida</c:v>
                </c:pt>
                <c:pt idx="10">
                  <c:v>Camiseta Azul Escolar</c:v>
                </c:pt>
                <c:pt idx="11">
                  <c:v>Mochila Escolar</c:v>
                </c:pt>
                <c:pt idx="12">
                  <c:v>Mochila Escolar Azul</c:v>
                </c:pt>
                <c:pt idx="13">
                  <c:v>Mochila Escolar Corrida</c:v>
                </c:pt>
                <c:pt idx="14">
                  <c:v>Tênis Corrida</c:v>
                </c:pt>
                <c:pt idx="15">
                  <c:v>Tênis Corrida Azul</c:v>
                </c:pt>
                <c:pt idx="16">
                  <c:v>Tênis Corrida Escolar</c:v>
                </c:pt>
              </c:strCache>
            </c:strRef>
          </c:cat>
          <c:val>
            <c:numRef>
              <c:f>Cálculos!$B$2:$B$19</c:f>
              <c:numCache>
                <c:formatCode>_("R$"* #,##0.00_);_("R$"* \(#,##0.00\);_("R$"* "-"??_);_(@_)</c:formatCode>
                <c:ptCount val="17"/>
                <c:pt idx="0">
                  <c:v>3789.9175</c:v>
                </c:pt>
                <c:pt idx="1">
                  <c:v>1036.2149999999999</c:v>
                </c:pt>
                <c:pt idx="2">
                  <c:v>1038</c:v>
                </c:pt>
                <c:pt idx="3">
                  <c:v>360</c:v>
                </c:pt>
                <c:pt idx="4">
                  <c:v>2897.01</c:v>
                </c:pt>
                <c:pt idx="5">
                  <c:v>2237.3010000000004</c:v>
                </c:pt>
                <c:pt idx="6">
                  <c:v>240</c:v>
                </c:pt>
                <c:pt idx="7">
                  <c:v>502.61</c:v>
                </c:pt>
                <c:pt idx="8">
                  <c:v>2109.4899999999998</c:v>
                </c:pt>
                <c:pt idx="9">
                  <c:v>632.91</c:v>
                </c:pt>
                <c:pt idx="10">
                  <c:v>1177.82</c:v>
                </c:pt>
                <c:pt idx="11">
                  <c:v>3495.703</c:v>
                </c:pt>
                <c:pt idx="12">
                  <c:v>839.98199999999997</c:v>
                </c:pt>
                <c:pt idx="13">
                  <c:v>44.91</c:v>
                </c:pt>
                <c:pt idx="14">
                  <c:v>2757.7840000000001</c:v>
                </c:pt>
                <c:pt idx="15">
                  <c:v>861.82799999999997</c:v>
                </c:pt>
                <c:pt idx="16">
                  <c:v>1869.9349999999999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AB-4170-B906-FB7861993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52214943"/>
        <c:axId val="1552227423"/>
      </c:barChart>
      <c:catAx>
        <c:axId val="1552214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2227423"/>
        <c:crosses val="autoZero"/>
        <c:auto val="1"/>
        <c:lblAlgn val="ctr"/>
        <c:lblOffset val="100"/>
        <c:noMultiLvlLbl val="0"/>
      </c:catAx>
      <c:valAx>
        <c:axId val="1552227423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55221494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rgbClr val="FC7800">
          <a:alpha val="0"/>
        </a:srgb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[Pasta1 (version 1).xlsx]Cálculos!Tabela dinâmica3</c:name>
    <c:fmtId val="11"/>
  </c:pivotSource>
  <c:chart>
    <c:autoTitleDeleted val="1"/>
    <c:pivotFmts>
      <c:pivotFmt>
        <c:idx val="0"/>
        <c:spPr>
          <a:solidFill>
            <a:srgbClr val="FC78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C78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C78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C78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C78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Cálculos!$R$1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C78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Cálculos!$Q$2:$Q$6</c:f>
              <c:strCache>
                <c:ptCount val="4"/>
                <c:pt idx="0">
                  <c:v>set</c:v>
                </c:pt>
                <c:pt idx="1">
                  <c:v>out</c:v>
                </c:pt>
                <c:pt idx="2">
                  <c:v>nov</c:v>
                </c:pt>
                <c:pt idx="3">
                  <c:v>dez</c:v>
                </c:pt>
              </c:strCache>
            </c:strRef>
          </c:cat>
          <c:val>
            <c:numRef>
              <c:f>Cálculos!$R$2:$R$6</c:f>
              <c:numCache>
                <c:formatCode>General</c:formatCode>
                <c:ptCount val="4"/>
                <c:pt idx="0">
                  <c:v>3</c:v>
                </c:pt>
                <c:pt idx="1">
                  <c:v>38</c:v>
                </c:pt>
                <c:pt idx="2">
                  <c:v>36</c:v>
                </c:pt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19-4937-A4A0-0C342F2A9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1433311"/>
        <c:axId val="1551428991"/>
      </c:barChart>
      <c:catAx>
        <c:axId val="1551433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1428991"/>
        <c:crosses val="autoZero"/>
        <c:auto val="1"/>
        <c:lblAlgn val="ctr"/>
        <c:lblOffset val="100"/>
        <c:noMultiLvlLbl val="0"/>
      </c:catAx>
      <c:valAx>
        <c:axId val="155142899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51433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[Pasta1 (version 1).xlsx]Cálculos!Tabela dinâmica2</c:name>
    <c:fmtId val="9"/>
  </c:pivotSource>
  <c:chart>
    <c:autoTitleDeleted val="1"/>
    <c:pivotFmts>
      <c:pivotFmt>
        <c:idx val="0"/>
        <c:spPr>
          <a:solidFill>
            <a:srgbClr val="FC78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C78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C78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C78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C78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C78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C78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8074252196976027E-2"/>
          <c:y val="6.0185185185185182E-2"/>
          <c:w val="0.93823664516665273"/>
          <c:h val="0.842045056867891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Cálculos!$L$1:$L$2</c:f>
              <c:strCache>
                <c:ptCount val="1"/>
                <c:pt idx="0">
                  <c:v>0,00%</c:v>
                </c:pt>
              </c:strCache>
            </c:strRef>
          </c:tx>
          <c:spPr>
            <a:solidFill>
              <a:srgbClr val="FC78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Cálculos!$K$3:$K$6</c:f>
              <c:strCache>
                <c:ptCount val="3"/>
                <c:pt idx="0">
                  <c:v>Acessórios</c:v>
                </c:pt>
                <c:pt idx="1">
                  <c:v>Calçados</c:v>
                </c:pt>
                <c:pt idx="2">
                  <c:v>Roupas</c:v>
                </c:pt>
              </c:strCache>
            </c:strRef>
          </c:cat>
          <c:val>
            <c:numRef>
              <c:f>Cálculos!$L$3:$L$6</c:f>
              <c:numCache>
                <c:formatCode>General</c:formatCode>
                <c:ptCount val="3"/>
                <c:pt idx="0">
                  <c:v>9</c:v>
                </c:pt>
                <c:pt idx="1">
                  <c:v>2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F1-466B-86E1-19913C9456D0}"/>
            </c:ext>
          </c:extLst>
        </c:ser>
        <c:ser>
          <c:idx val="1"/>
          <c:order val="1"/>
          <c:tx>
            <c:strRef>
              <c:f>Cálculos!$M$1:$M$2</c:f>
              <c:strCache>
                <c:ptCount val="1"/>
                <c:pt idx="0">
                  <c:v>5,00%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Cálculos!$K$3:$K$6</c:f>
              <c:strCache>
                <c:ptCount val="3"/>
                <c:pt idx="0">
                  <c:v>Acessórios</c:v>
                </c:pt>
                <c:pt idx="1">
                  <c:v>Calçados</c:v>
                </c:pt>
                <c:pt idx="2">
                  <c:v>Roupas</c:v>
                </c:pt>
              </c:strCache>
            </c:strRef>
          </c:cat>
          <c:val>
            <c:numRef>
              <c:f>Cálculos!$M$3:$M$6</c:f>
              <c:numCache>
                <c:formatCode>General</c:formatCode>
                <c:ptCount val="3"/>
                <c:pt idx="0">
                  <c:v>11</c:v>
                </c:pt>
                <c:pt idx="1">
                  <c:v>2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2DF1-466B-86E1-19913C9456D0}"/>
            </c:ext>
          </c:extLst>
        </c:ser>
        <c:ser>
          <c:idx val="2"/>
          <c:order val="2"/>
          <c:tx>
            <c:strRef>
              <c:f>Cálculos!$N$1:$N$2</c:f>
              <c:strCache>
                <c:ptCount val="1"/>
                <c:pt idx="0">
                  <c:v>10,00%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Cálculos!$K$3:$K$6</c:f>
              <c:strCache>
                <c:ptCount val="3"/>
                <c:pt idx="0">
                  <c:v>Acessórios</c:v>
                </c:pt>
                <c:pt idx="1">
                  <c:v>Calçados</c:v>
                </c:pt>
                <c:pt idx="2">
                  <c:v>Roupas</c:v>
                </c:pt>
              </c:strCache>
            </c:strRef>
          </c:cat>
          <c:val>
            <c:numRef>
              <c:f>Cálculos!$N$3:$N$6</c:f>
              <c:numCache>
                <c:formatCode>General</c:formatCode>
                <c:ptCount val="3"/>
                <c:pt idx="0">
                  <c:v>18</c:v>
                </c:pt>
                <c:pt idx="1">
                  <c:v>13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2DF1-466B-86E1-19913C945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2149183"/>
        <c:axId val="1552156863"/>
      </c:barChart>
      <c:catAx>
        <c:axId val="1552149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2156863"/>
        <c:crosses val="autoZero"/>
        <c:auto val="1"/>
        <c:lblAlgn val="ctr"/>
        <c:lblOffset val="100"/>
        <c:noMultiLvlLbl val="0"/>
      </c:catAx>
      <c:valAx>
        <c:axId val="15521568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52149183"/>
        <c:crosses val="autoZero"/>
        <c:crossBetween val="between"/>
      </c:valAx>
      <c:spPr>
        <a:noFill/>
        <a:ln>
          <a:solidFill>
            <a:srgbClr val="FC7800">
              <a:alpha val="0"/>
            </a:srgbClr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microsoft.com/office/2007/relationships/hdphoto" Target="../media/hdphoto3.wdp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12" Type="http://schemas.openxmlformats.org/officeDocument/2006/relationships/image" Target="../media/image10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microsoft.com/office/2007/relationships/hdphoto" Target="../media/hdphoto2.wdp"/><Relationship Id="rId5" Type="http://schemas.openxmlformats.org/officeDocument/2006/relationships/image" Target="../media/image5.png"/><Relationship Id="rId15" Type="http://schemas.microsoft.com/office/2007/relationships/hdphoto" Target="../media/hdphoto4.wdp"/><Relationship Id="rId10" Type="http://schemas.openxmlformats.org/officeDocument/2006/relationships/image" Target="../media/image9.png"/><Relationship Id="rId4" Type="http://schemas.openxmlformats.org/officeDocument/2006/relationships/image" Target="../media/image4.png"/><Relationship Id="rId9" Type="http://schemas.microsoft.com/office/2007/relationships/hdphoto" Target="../media/hdphoto1.wdp"/><Relationship Id="rId14" Type="http://schemas.openxmlformats.org/officeDocument/2006/relationships/image" Target="../media/image11.png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07/relationships/hdphoto" Target="../media/hdphoto5.wdp"/><Relationship Id="rId13" Type="http://schemas.openxmlformats.org/officeDocument/2006/relationships/chart" Target="../charts/chart2.xml"/><Relationship Id="rId3" Type="http://schemas.openxmlformats.org/officeDocument/2006/relationships/chart" Target="../charts/chart1.xml"/><Relationship Id="rId7" Type="http://schemas.openxmlformats.org/officeDocument/2006/relationships/image" Target="../media/image14.png"/><Relationship Id="rId12" Type="http://schemas.microsoft.com/office/2007/relationships/hdphoto" Target="../media/hdphoto3.wdp"/><Relationship Id="rId2" Type="http://schemas.openxmlformats.org/officeDocument/2006/relationships/image" Target="../media/image12.png"/><Relationship Id="rId1" Type="http://schemas.openxmlformats.org/officeDocument/2006/relationships/image" Target="../media/image1.png"/><Relationship Id="rId6" Type="http://schemas.openxmlformats.org/officeDocument/2006/relationships/image" Target="../media/image13.png"/><Relationship Id="rId11" Type="http://schemas.openxmlformats.org/officeDocument/2006/relationships/image" Target="../media/image10.png"/><Relationship Id="rId5" Type="http://schemas.microsoft.com/office/2007/relationships/hdphoto" Target="../media/hdphoto4.wdp"/><Relationship Id="rId10" Type="http://schemas.microsoft.com/office/2007/relationships/hdphoto" Target="../media/hdphoto2.wdp"/><Relationship Id="rId4" Type="http://schemas.openxmlformats.org/officeDocument/2006/relationships/image" Target="../media/image11.png"/><Relationship Id="rId9" Type="http://schemas.openxmlformats.org/officeDocument/2006/relationships/image" Target="../media/image9.png"/><Relationship Id="rId1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3</xdr:row>
      <xdr:rowOff>19050</xdr:rowOff>
    </xdr:from>
    <xdr:to>
      <xdr:col>5</xdr:col>
      <xdr:colOff>571500</xdr:colOff>
      <xdr:row>11</xdr:row>
      <xdr:rowOff>38100</xdr:rowOff>
    </xdr:to>
    <xdr:pic>
      <xdr:nvPicPr>
        <xdr:cNvPr id="2" name="Imagem 1" descr="Este é o novo logo do Pontofrio - GKPB - Geek Publicitário">
          <a:extLst>
            <a:ext uri="{FF2B5EF4-FFF2-40B4-BE49-F238E27FC236}">
              <a16:creationId xmlns:a16="http://schemas.microsoft.com/office/drawing/2014/main" id="{D1F6AD75-206B-3A4D-A510-2DEE44B01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590550"/>
          <a:ext cx="2962275" cy="154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47625</xdr:colOff>
      <xdr:row>11</xdr:row>
      <xdr:rowOff>66675</xdr:rowOff>
    </xdr:from>
    <xdr:to>
      <xdr:col>4</xdr:col>
      <xdr:colOff>342900</xdr:colOff>
      <xdr:row>22</xdr:row>
      <xdr:rowOff>133350</xdr:rowOff>
    </xdr:to>
    <xdr:pic>
      <xdr:nvPicPr>
        <xdr:cNvPr id="3" name="Imagem 2" descr="Ponto | Presidente Prudente SP">
          <a:extLst>
            <a:ext uri="{FF2B5EF4-FFF2-40B4-BE49-F238E27FC236}">
              <a16:creationId xmlns:a16="http://schemas.microsoft.com/office/drawing/2014/main" id="{BCF91213-04EC-5A7F-9F2C-88147F24B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2247900"/>
          <a:ext cx="2124075" cy="2162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466725</xdr:colOff>
      <xdr:row>11</xdr:row>
      <xdr:rowOff>66675</xdr:rowOff>
    </xdr:from>
    <xdr:to>
      <xdr:col>8</xdr:col>
      <xdr:colOff>171450</xdr:colOff>
      <xdr:row>22</xdr:row>
      <xdr:rowOff>114300</xdr:rowOff>
    </xdr:to>
    <xdr:pic>
      <xdr:nvPicPr>
        <xdr:cNvPr id="4" name="Imagem 3" descr="Vender no Ponto Frio: Entenda como Começar no Marketplace">
          <a:extLst>
            <a:ext uri="{FF2B5EF4-FFF2-40B4-BE49-F238E27FC236}">
              <a16:creationId xmlns:a16="http://schemas.microsoft.com/office/drawing/2014/main" id="{00C73C9C-3CB4-771B-5B00-FFA249134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5" y="2247900"/>
          <a:ext cx="2143125" cy="2143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28575</xdr:colOff>
      <xdr:row>3</xdr:row>
      <xdr:rowOff>28575</xdr:rowOff>
    </xdr:from>
    <xdr:to>
      <xdr:col>12</xdr:col>
      <xdr:colOff>571500</xdr:colOff>
      <xdr:row>8</xdr:row>
      <xdr:rowOff>161925</xdr:rowOff>
    </xdr:to>
    <xdr:pic>
      <xdr:nvPicPr>
        <xdr:cNvPr id="5" name="Imagem 4" descr="Ponto Frio - AnyHub">
          <a:extLst>
            <a:ext uri="{FF2B5EF4-FFF2-40B4-BE49-F238E27FC236}">
              <a16:creationId xmlns:a16="http://schemas.microsoft.com/office/drawing/2014/main" id="{AFA66293-B1D7-9AF4-CFEF-B576B765B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6175" y="600075"/>
          <a:ext cx="4200525" cy="1085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494110</xdr:colOff>
      <xdr:row>11</xdr:row>
      <xdr:rowOff>26035</xdr:rowOff>
    </xdr:from>
    <xdr:to>
      <xdr:col>11</xdr:col>
      <xdr:colOff>583408</xdr:colOff>
      <xdr:row>20</xdr:row>
      <xdr:rowOff>169069</xdr:rowOff>
    </xdr:to>
    <xdr:pic>
      <xdr:nvPicPr>
        <xdr:cNvPr id="6" name="Imagem 5" descr="Venda no Pontofrio.com | Marketplace">
          <a:extLst>
            <a:ext uri="{FF2B5EF4-FFF2-40B4-BE49-F238E27FC236}">
              <a16:creationId xmlns:a16="http://schemas.microsoft.com/office/drawing/2014/main" id="{35922974-25C7-0FA6-9BB6-772756662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1860" y="2210832"/>
          <a:ext cx="1910954" cy="1857534"/>
        </a:xfrm>
        <a:prstGeom prst="ellipse">
          <a:avLst/>
        </a:prstGeom>
        <a:solidFill>
          <a:srgbClr val="FC7800"/>
        </a:solidFill>
        <a:ln w="63500" cap="rnd">
          <a:noFill/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 editAs="absolute">
    <xdr:from>
      <xdr:col>4</xdr:col>
      <xdr:colOff>73269</xdr:colOff>
      <xdr:row>34</xdr:row>
      <xdr:rowOff>71358</xdr:rowOff>
    </xdr:from>
    <xdr:to>
      <xdr:col>5</xdr:col>
      <xdr:colOff>301319</xdr:colOff>
      <xdr:row>38</xdr:row>
      <xdr:rowOff>147558</xdr:rowOff>
    </xdr:to>
    <xdr:pic>
      <xdr:nvPicPr>
        <xdr:cNvPr id="11" name="Imagem 10" descr="Quantidade - ícones de comércio e compras grátis">
          <a:extLst>
            <a:ext uri="{FF2B5EF4-FFF2-40B4-BE49-F238E27FC236}">
              <a16:creationId xmlns:a16="http://schemas.microsoft.com/office/drawing/2014/main" id="{883CC051-A6C3-CA40-F95E-B87057877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5807" y="6814038"/>
          <a:ext cx="836185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436855</xdr:colOff>
      <xdr:row>35</xdr:row>
      <xdr:rowOff>0</xdr:rowOff>
    </xdr:from>
    <xdr:to>
      <xdr:col>8</xdr:col>
      <xdr:colOff>0</xdr:colOff>
      <xdr:row>39</xdr:row>
      <xdr:rowOff>22299</xdr:rowOff>
    </xdr:to>
    <xdr:pic>
      <xdr:nvPicPr>
        <xdr:cNvPr id="12" name="Imagem 11" descr="Funcionários - ícones de pessoas grátis">
          <a:extLst>
            <a:ext uri="{FF2B5EF4-FFF2-40B4-BE49-F238E27FC236}">
              <a16:creationId xmlns:a16="http://schemas.microsoft.com/office/drawing/2014/main" id="{66FD6486-9870-AC76-712D-80A33837D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333" y="6924261"/>
          <a:ext cx="788971" cy="784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314739</xdr:colOff>
      <xdr:row>40</xdr:row>
      <xdr:rowOff>0</xdr:rowOff>
    </xdr:from>
    <xdr:to>
      <xdr:col>8</xdr:col>
      <xdr:colOff>2529</xdr:colOff>
      <xdr:row>44</xdr:row>
      <xdr:rowOff>0</xdr:rowOff>
    </xdr:to>
    <xdr:pic>
      <xdr:nvPicPr>
        <xdr:cNvPr id="13" name="Imagem 12" descr="Vendas icon: 3,2 milhões imagens, fotos e ilustrações stock livres de  direitos | Shutterstock">
          <a:extLst>
            <a:ext uri="{FF2B5EF4-FFF2-40B4-BE49-F238E27FC236}">
              <a16:creationId xmlns:a16="http://schemas.microsoft.com/office/drawing/2014/main" id="{118D7574-A1D7-B595-700C-E368AD4F348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11071" b="82500" l="10000" r="90000">
                      <a14:foregroundMark x1="33462" y1="81429" x2="33462" y2="81429"/>
                      <a14:foregroundMark x1="48077" y1="82500" x2="48077" y2="82500"/>
                      <a14:foregroundMark x1="51923" y1="82857" x2="51923" y2="82857"/>
                      <a14:foregroundMark x1="56538" y1="59286" x2="56538" y2="59286"/>
                      <a14:foregroundMark x1="48462" y1="48571" x2="48462" y2="48571"/>
                      <a14:foregroundMark x1="70769" y1="43929" x2="70769" y2="43929"/>
                      <a14:foregroundMark x1="68462" y1="56429" x2="68462" y2="56429"/>
                      <a14:foregroundMark x1="72692" y1="65357" x2="72692" y2="65357"/>
                      <a14:foregroundMark x1="75769" y1="70000" x2="75769" y2="70000"/>
                      <a14:foregroundMark x1="75769" y1="74643" x2="75769" y2="74643"/>
                      <a14:foregroundMark x1="83846" y1="75000" x2="83846" y2="75000"/>
                      <a14:foregroundMark x1="62692" y1="24286" x2="62692" y2="24286"/>
                      <a14:foregroundMark x1="50000" y1="17500" x2="50000" y2="17500"/>
                      <a14:foregroundMark x1="51923" y1="11071" x2="51923" y2="11071"/>
                      <a14:foregroundMark x1="34231" y1="49643" x2="34231" y2="49643"/>
                      <a14:foregroundMark x1="30769" y1="51429" x2="30769" y2="51429"/>
                      <a14:foregroundMark x1="22308" y1="64643" x2="22308" y2="6464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7296" b="14537"/>
        <a:stretch>
          <a:fillRect/>
        </a:stretch>
      </xdr:blipFill>
      <xdr:spPr bwMode="auto">
        <a:xfrm>
          <a:off x="3992217" y="7876761"/>
          <a:ext cx="913616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256760</xdr:colOff>
      <xdr:row>40</xdr:row>
      <xdr:rowOff>24848</xdr:rowOff>
    </xdr:from>
    <xdr:to>
      <xdr:col>11</xdr:col>
      <xdr:colOff>24847</xdr:colOff>
      <xdr:row>44</xdr:row>
      <xdr:rowOff>107674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E87EFDD3-2F83-1380-1827-3826502594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backgroundRemoval t="10000" b="90000" l="10000" r="90000">
                      <a14:foregroundMark x1="32000" y1="33778" x2="32000" y2="33778"/>
                      <a14:foregroundMark x1="41778" y1="34667" x2="41778" y2="34667"/>
                      <a14:foregroundMark x1="28444" y1="23111" x2="28444" y2="23111"/>
                      <a14:foregroundMark x1="22667" y1="37778" x2="22667" y2="37778"/>
                      <a14:foregroundMark x1="29333" y1="67111" x2="29333" y2="67111"/>
                      <a14:backgroundMark x1="30667" y1="48889" x2="30667" y2="48889"/>
                      <a14:backgroundMark x1="21333" y1="48889" x2="48000" y2="48444"/>
                      <a14:backgroundMark x1="48000" y1="48444" x2="48000" y2="48444"/>
                      <a14:backgroundMark x1="27111" y1="39556" x2="27111" y2="39556"/>
                      <a14:backgroundMark x1="46667" y1="34222" x2="46667" y2="34222"/>
                    </a14:backgroundRemoval>
                  </a14:imgEffect>
                </a14:imgLayer>
              </a14:imgProps>
            </a:ext>
          </a:extLst>
        </a:blip>
        <a:srcRect r="-5717"/>
        <a:stretch>
          <a:fillRect/>
        </a:stretch>
      </xdr:blipFill>
      <xdr:spPr>
        <a:xfrm>
          <a:off x="5772977" y="7918174"/>
          <a:ext cx="993913" cy="844826"/>
        </a:xfrm>
        <a:prstGeom prst="rect">
          <a:avLst/>
        </a:prstGeom>
      </xdr:spPr>
    </xdr:pic>
    <xdr:clientData/>
  </xdr:twoCellAnchor>
  <xdr:twoCellAnchor editAs="oneCell">
    <xdr:from>
      <xdr:col>9</xdr:col>
      <xdr:colOff>488673</xdr:colOff>
      <xdr:row>34</xdr:row>
      <xdr:rowOff>164465</xdr:rowOff>
    </xdr:from>
    <xdr:to>
      <xdr:col>11</xdr:col>
      <xdr:colOff>58218</xdr:colOff>
      <xdr:row>39</xdr:row>
      <xdr:rowOff>0</xdr:rowOff>
    </xdr:to>
    <xdr:pic>
      <xdr:nvPicPr>
        <xdr:cNvPr id="15" name="Imagem 14" descr="Etiqueta de desconto - ícones de comércio e compras grátis">
          <a:extLst>
            <a:ext uri="{FF2B5EF4-FFF2-40B4-BE49-F238E27FC236}">
              <a16:creationId xmlns:a16="http://schemas.microsoft.com/office/drawing/2014/main" id="{E24472EB-41BA-15ED-0B09-5CCA3E508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ackgroundRemoval t="2667" b="95556" l="889" r="96889">
                      <a14:foregroundMark x1="4889" y1="62222" x2="4889" y2="62222"/>
                      <a14:foregroundMark x1="889" y1="66667" x2="889" y2="66667"/>
                      <a14:foregroundMark x1="24444" y1="89778" x2="24444" y2="89778"/>
                      <a14:foregroundMark x1="32444" y1="95556" x2="32444" y2="95556"/>
                      <a14:foregroundMark x1="67556" y1="6667" x2="67556" y2="6667"/>
                      <a14:foregroundMark x1="76000" y1="3111" x2="76000" y2="3111"/>
                      <a14:foregroundMark x1="96889" y1="40889" x2="96889" y2="4088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890" y="6898226"/>
          <a:ext cx="795371" cy="788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575191</xdr:colOff>
      <xdr:row>34</xdr:row>
      <xdr:rowOff>182217</xdr:rowOff>
    </xdr:from>
    <xdr:to>
      <xdr:col>2</xdr:col>
      <xdr:colOff>588065</xdr:colOff>
      <xdr:row>37</xdr:row>
      <xdr:rowOff>182217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4D99D3DE-BF13-4C26-8A6D-D83EBBB361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>
          <a:extLst>
            <a:ext uri="{BEBA8EAE-BF5A-486C-A8C5-ECC9F3942E4B}">
              <a14:imgProps xmlns:a14="http://schemas.microsoft.com/office/drawing/2010/main">
                <a14:imgLayer r:embed="rId15">
                  <a14:imgEffect>
                    <a14:backgroundRemoval t="16429" b="84286" l="19378" r="84940">
                      <a14:foregroundMark x1="31928" y1="50714" x2="31928" y2="50714"/>
                      <a14:foregroundMark x1="41466" y1="30714" x2="41466" y2="30714"/>
                      <a14:foregroundMark x1="37550" y1="31020" x2="37550" y2="31020"/>
                      <a14:foregroundMark x1="32329" y1="31020" x2="32329" y2="31020"/>
                      <a14:foregroundMark x1="54116" y1="16429" x2="54116" y2="16429"/>
                      <a14:foregroundMark x1="68273" y1="20612" x2="68273" y2="20612"/>
                      <a14:foregroundMark x1="71687" y1="25816" x2="71687" y2="25816"/>
                      <a14:foregroundMark x1="73293" y1="33061" x2="73293" y2="33061"/>
                      <a14:foregroundMark x1="70683" y1="65000" x2="70683" y2="65000"/>
                      <a14:foregroundMark x1="69578" y1="68673" x2="69578" y2="68673"/>
                      <a14:foregroundMark x1="62249" y1="65204" x2="62249" y2="65204"/>
                      <a14:foregroundMark x1="54518" y1="64592" x2="54518" y2="64592"/>
                      <a14:foregroundMark x1="47088" y1="60000" x2="47088" y2="60000"/>
                      <a14:foregroundMark x1="42369" y1="59898" x2="42369" y2="59898"/>
                      <a14:foregroundMark x1="37550" y1="59898" x2="37550" y2="59898"/>
                      <a14:foregroundMark x1="32831" y1="60000" x2="32831" y2="60000"/>
                      <a14:foregroundMark x1="28815" y1="60000" x2="28815" y2="60000"/>
                      <a14:foregroundMark x1="26908" y1="64388" x2="26908" y2="64388"/>
                      <a14:foregroundMark x1="31627" y1="64592" x2="31627" y2="64592"/>
                      <a14:foregroundMark x1="36546" y1="64592" x2="36546" y2="64592"/>
                      <a14:foregroundMark x1="41265" y1="64388" x2="41265" y2="64388"/>
                      <a14:foregroundMark x1="44378" y1="64490" x2="44378" y2="64490"/>
                      <a14:foregroundMark x1="24799" y1="84286" x2="24799" y2="84286"/>
                    </a14:backgroundRemoval>
                  </a14:imgEffect>
                </a14:imgLayer>
              </a14:imgProps>
            </a:ext>
          </a:extLst>
        </a:blip>
        <a:srcRect l="11210" t="11592" r="6833" b="12000"/>
        <a:stretch>
          <a:fillRect/>
        </a:stretch>
      </xdr:blipFill>
      <xdr:spPr>
        <a:xfrm>
          <a:off x="1188104" y="6932543"/>
          <a:ext cx="625787" cy="571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36857</xdr:rowOff>
    </xdr:from>
    <xdr:to>
      <xdr:col>3</xdr:col>
      <xdr:colOff>0</xdr:colOff>
      <xdr:row>89</xdr:row>
      <xdr:rowOff>0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2C2BA9CE-B59A-C398-64F2-9EF7BB2FE9E4}"/>
            </a:ext>
          </a:extLst>
        </xdr:cNvPr>
        <xdr:cNvGrpSpPr/>
      </xdr:nvGrpSpPr>
      <xdr:grpSpPr>
        <a:xfrm>
          <a:off x="0" y="1964269"/>
          <a:ext cx="1815353" cy="16346143"/>
          <a:chOff x="0" y="1958422"/>
          <a:chExt cx="1838739" cy="16346143"/>
        </a:xfrm>
      </xdr:grpSpPr>
      <mc:AlternateContent xmlns:mc="http://schemas.openxmlformats.org/markup-compatibility/2006">
        <mc:Choice xmlns:a14="http://schemas.microsoft.com/office/drawing/2010/main" Requires="a14">
          <xdr:graphicFrame macro="">
            <xdr:nvGraphicFramePr>
              <xdr:cNvPr id="3" name="Produto">
                <a:extLst>
                  <a:ext uri="{FF2B5EF4-FFF2-40B4-BE49-F238E27FC236}">
                    <a16:creationId xmlns:a16="http://schemas.microsoft.com/office/drawing/2014/main" id="{2A7CFB9F-9B01-46BA-A18E-36F434438681}"/>
                  </a:ext>
                </a:extLst>
              </xdr:cNvPr>
              <xdr:cNvGraphicFramePr/>
            </xdr:nvGraphicFramePr>
            <xdr:xfrm>
              <a:off x="0" y="12970565"/>
              <a:ext cx="1838739" cy="5334000"/>
            </xdr:xfrm>
            <a:graphic>
              <a:graphicData uri="http://schemas.microsoft.com/office/drawing/2010/slicer">
                <sle:slicer xmlns:sle="http://schemas.microsoft.com/office/drawing/2010/slicer" name="Produto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0" y="12976412"/>
                <a:ext cx="1815353" cy="5334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mc:AlternateContent xmlns:mc="http://schemas.openxmlformats.org/markup-compatibility/2006">
        <mc:Choice xmlns:a14="http://schemas.microsoft.com/office/drawing/2010/main" Requires="a14">
          <xdr:graphicFrame macro="">
            <xdr:nvGraphicFramePr>
              <xdr:cNvPr id="4" name="Categoria">
                <a:extLst>
                  <a:ext uri="{FF2B5EF4-FFF2-40B4-BE49-F238E27FC236}">
                    <a16:creationId xmlns:a16="http://schemas.microsoft.com/office/drawing/2014/main" id="{A0EC3493-EFAC-4A5B-BCDB-D45FFAFA01EF}"/>
                  </a:ext>
                </a:extLst>
              </xdr:cNvPr>
              <xdr:cNvGraphicFramePr/>
            </xdr:nvGraphicFramePr>
            <xdr:xfrm>
              <a:off x="0" y="1958422"/>
              <a:ext cx="1838739" cy="1255230"/>
            </xdr:xfrm>
            <a:graphic>
              <a:graphicData uri="http://schemas.microsoft.com/office/drawing/2010/slicer">
                <sle:slicer xmlns:sle="http://schemas.microsoft.com/office/drawing/2010/slicer" name="Categoria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0" y="1964269"/>
                <a:ext cx="1815353" cy="125523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mc:AlternateContent xmlns:mc="http://schemas.openxmlformats.org/markup-compatibility/2006">
        <mc:Choice xmlns:a14="http://schemas.microsoft.com/office/drawing/2010/main" Requires="a14">
          <xdr:graphicFrame macro="">
            <xdr:nvGraphicFramePr>
              <xdr:cNvPr id="5" name="Forma_Pagamento">
                <a:extLst>
                  <a:ext uri="{FF2B5EF4-FFF2-40B4-BE49-F238E27FC236}">
                    <a16:creationId xmlns:a16="http://schemas.microsoft.com/office/drawing/2014/main" id="{A4221AC5-C215-4039-B691-9EB4746DFAE9}"/>
                  </a:ext>
                </a:extLst>
              </xdr:cNvPr>
              <xdr:cNvGraphicFramePr/>
            </xdr:nvGraphicFramePr>
            <xdr:xfrm>
              <a:off x="0" y="4969566"/>
              <a:ext cx="1838739" cy="1333500"/>
            </xdr:xfrm>
            <a:graphic>
              <a:graphicData uri="http://schemas.microsoft.com/office/drawing/2010/slicer">
                <sle:slicer xmlns:sle="http://schemas.microsoft.com/office/drawing/2010/slicer" name="Forma_Pagamento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0" y="4975413"/>
                <a:ext cx="1815353" cy="13335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mc:AlternateContent xmlns:mc="http://schemas.openxmlformats.org/markup-compatibility/2006">
        <mc:Choice xmlns:a14="http://schemas.microsoft.com/office/drawing/2010/main" Requires="a14">
          <xdr:graphicFrame macro="">
            <xdr:nvGraphicFramePr>
              <xdr:cNvPr id="6" name="Status_Entrega">
                <a:extLst>
                  <a:ext uri="{FF2B5EF4-FFF2-40B4-BE49-F238E27FC236}">
                    <a16:creationId xmlns:a16="http://schemas.microsoft.com/office/drawing/2014/main" id="{B79A7BC3-62FB-49D2-9937-2B93CF7903F3}"/>
                  </a:ext>
                </a:extLst>
              </xdr:cNvPr>
              <xdr:cNvGraphicFramePr/>
            </xdr:nvGraphicFramePr>
            <xdr:xfrm>
              <a:off x="0" y="11256065"/>
              <a:ext cx="1838739" cy="1534988"/>
            </xdr:xfrm>
            <a:graphic>
              <a:graphicData uri="http://schemas.microsoft.com/office/drawing/2010/slicer">
                <sle:slicer xmlns:sle="http://schemas.microsoft.com/office/drawing/2010/slicer" name="Status_Entrega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0" y="11261912"/>
                <a:ext cx="1815353" cy="1534988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mc:AlternateContent xmlns:mc="http://schemas.openxmlformats.org/markup-compatibility/2006">
        <mc:Choice xmlns:a14="http://schemas.microsoft.com/office/drawing/2010/main" Requires="a14">
          <xdr:graphicFrame macro="">
            <xdr:nvGraphicFramePr>
              <xdr:cNvPr id="8" name="Desconto">
                <a:extLst>
                  <a:ext uri="{FF2B5EF4-FFF2-40B4-BE49-F238E27FC236}">
                    <a16:creationId xmlns:a16="http://schemas.microsoft.com/office/drawing/2014/main" id="{53D80326-0985-417E-A877-52CEEDABF211}"/>
                  </a:ext>
                </a:extLst>
              </xdr:cNvPr>
              <xdr:cNvGraphicFramePr/>
            </xdr:nvGraphicFramePr>
            <xdr:xfrm>
              <a:off x="0" y="3480351"/>
              <a:ext cx="1838739" cy="1298714"/>
            </xdr:xfrm>
            <a:graphic>
              <a:graphicData uri="http://schemas.microsoft.com/office/drawing/2010/slicer">
                <sle:slicer xmlns:sle="http://schemas.microsoft.com/office/drawing/2010/slicer" name="Desconto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0" y="3486198"/>
                <a:ext cx="1815353" cy="1298714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mc:AlternateContent xmlns:mc="http://schemas.openxmlformats.org/markup-compatibility/2006">
        <mc:Choice xmlns:a14="http://schemas.microsoft.com/office/drawing/2010/main" Requires="a14">
          <xdr:graphicFrame macro="">
            <xdr:nvGraphicFramePr>
              <xdr:cNvPr id="10" name="Meses (Data_Venda)">
                <a:extLst>
                  <a:ext uri="{FF2B5EF4-FFF2-40B4-BE49-F238E27FC236}">
                    <a16:creationId xmlns:a16="http://schemas.microsoft.com/office/drawing/2014/main" id="{B518020C-4380-444F-905B-231AC481A8AC}"/>
                  </a:ext>
                </a:extLst>
              </xdr:cNvPr>
              <xdr:cNvGraphicFramePr/>
            </xdr:nvGraphicFramePr>
            <xdr:xfrm>
              <a:off x="0" y="6493565"/>
              <a:ext cx="1833331" cy="4572000"/>
            </xdr:xfrm>
            <a:graphic>
              <a:graphicData uri="http://schemas.microsoft.com/office/drawing/2010/slicer">
                <sle:slicer xmlns:sle="http://schemas.microsoft.com/office/drawing/2010/slicer" name="Meses (Data_Venda)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0" y="6499412"/>
                <a:ext cx="1810014" cy="4572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</xdr:grpSp>
    <xdr:clientData/>
  </xdr:twoCellAnchor>
  <xdr:twoCellAnchor editAs="absolute">
    <xdr:from>
      <xdr:col>3</xdr:col>
      <xdr:colOff>0</xdr:colOff>
      <xdr:row>0</xdr:row>
      <xdr:rowOff>179733</xdr:rowOff>
    </xdr:from>
    <xdr:to>
      <xdr:col>7</xdr:col>
      <xdr:colOff>514350</xdr:colOff>
      <xdr:row>2</xdr:row>
      <xdr:rowOff>438979</xdr:rowOff>
    </xdr:to>
    <xdr:pic>
      <xdr:nvPicPr>
        <xdr:cNvPr id="11" name="Imagem 10" descr="Este é o novo logo do Pontofrio - GKPB - Geek Publicitário">
          <a:extLst>
            <a:ext uri="{FF2B5EF4-FFF2-40B4-BE49-F238E27FC236}">
              <a16:creationId xmlns:a16="http://schemas.microsoft.com/office/drawing/2014/main" id="{D08E70CE-9A89-4DBB-820A-23E256422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8739" y="179733"/>
          <a:ext cx="2966002" cy="154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183460</xdr:colOff>
      <xdr:row>0</xdr:row>
      <xdr:rowOff>99391</xdr:rowOff>
    </xdr:from>
    <xdr:to>
      <xdr:col>2</xdr:col>
      <xdr:colOff>554935</xdr:colOff>
      <xdr:row>2</xdr:row>
      <xdr:rowOff>124379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3D368E2F-15D3-44CA-6392-86485A9EE4B6}"/>
            </a:ext>
          </a:extLst>
        </xdr:cNvPr>
        <xdr:cNvGrpSpPr/>
      </xdr:nvGrpSpPr>
      <xdr:grpSpPr>
        <a:xfrm>
          <a:off x="183460" y="99391"/>
          <a:ext cx="1581710" cy="1313664"/>
          <a:chOff x="209550" y="127343"/>
          <a:chExt cx="1590675" cy="1308792"/>
        </a:xfrm>
      </xdr:grpSpPr>
      <xdr:pic>
        <xdr:nvPicPr>
          <xdr:cNvPr id="12" name="Imagem 11" descr="Venda no Pontofrio.com | Marketplace">
            <a:extLst>
              <a:ext uri="{FF2B5EF4-FFF2-40B4-BE49-F238E27FC236}">
                <a16:creationId xmlns:a16="http://schemas.microsoft.com/office/drawing/2014/main" id="{C7A6C0E4-2962-4357-B742-D83F85E7921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00063" y="127343"/>
            <a:ext cx="1009649" cy="981425"/>
          </a:xfrm>
          <a:prstGeom prst="ellipse">
            <a:avLst/>
          </a:prstGeom>
          <a:solidFill>
            <a:srgbClr val="FC7800"/>
          </a:solidFill>
          <a:ln w="63500" cap="rnd">
            <a:noFill/>
          </a:ln>
          <a:effectLst>
            <a:outerShdw blurRad="381000" dist="292100" dir="5400000" sx="-80000" sy="-18000" rotWithShape="0">
              <a:srgbClr val="000000">
                <a:alpha val="22000"/>
              </a:srgbClr>
            </a:outerShdw>
          </a:effectLst>
          <a:scene3d>
            <a:camera prst="orthographicFront"/>
            <a:lightRig rig="contrasting" dir="t">
              <a:rot lat="0" lon="0" rev="3000000"/>
            </a:lightRig>
          </a:scene3d>
          <a:sp3d contourW="7620">
            <a:bevelT w="95250" h="31750"/>
            <a:contourClr>
              <a:srgbClr val="333333"/>
            </a:contourClr>
          </a:sp3d>
        </xdr:spPr>
      </xdr:pic>
      <xdr:sp macro="" textlink="">
        <xdr:nvSpPr>
          <xdr:cNvPr id="13" name="CaixaDeTexto 12">
            <a:extLst>
              <a:ext uri="{FF2B5EF4-FFF2-40B4-BE49-F238E27FC236}">
                <a16:creationId xmlns:a16="http://schemas.microsoft.com/office/drawing/2014/main" id="{0E364D95-BABB-9582-19B7-0836995E5C36}"/>
              </a:ext>
            </a:extLst>
          </xdr:cNvPr>
          <xdr:cNvSpPr txBox="1"/>
        </xdr:nvSpPr>
        <xdr:spPr>
          <a:xfrm>
            <a:off x="209550" y="1171575"/>
            <a:ext cx="1590675" cy="264560"/>
          </a:xfrm>
          <a:prstGeom prst="rect">
            <a:avLst/>
          </a:prstGeom>
          <a:noFill/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pt-BR" sz="1100" b="1">
                <a:solidFill>
                  <a:schemeClr val="bg1"/>
                </a:solidFill>
              </a:rPr>
              <a:t>Seja bem</a:t>
            </a:r>
            <a:r>
              <a:rPr lang="pt-BR" sz="1100" b="1" baseline="0">
                <a:solidFill>
                  <a:schemeClr val="bg1"/>
                </a:solidFill>
              </a:rPr>
              <a:t> vindo, Kauan!</a:t>
            </a:r>
            <a:endParaRPr lang="pt-BR" sz="11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3</xdr:col>
      <xdr:colOff>604630</xdr:colOff>
      <xdr:row>15</xdr:row>
      <xdr:rowOff>0</xdr:rowOff>
    </xdr:from>
    <xdr:to>
      <xdr:col>21</xdr:col>
      <xdr:colOff>0</xdr:colOff>
      <xdr:row>43</xdr:row>
      <xdr:rowOff>132521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7F66E8D3-0F6C-F9F2-90E4-E97A0273F796}"/>
            </a:ext>
          </a:extLst>
        </xdr:cNvPr>
        <xdr:cNvGrpSpPr/>
      </xdr:nvGrpSpPr>
      <xdr:grpSpPr>
        <a:xfrm>
          <a:off x="2419983" y="4213412"/>
          <a:ext cx="10287488" cy="5466521"/>
          <a:chOff x="1830456" y="3060838"/>
          <a:chExt cx="10427805" cy="5466521"/>
        </a:xfrm>
      </xdr:grpSpPr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BD1BF40A-6D84-735C-4EE8-D61E20F3A0AD}"/>
              </a:ext>
            </a:extLst>
          </xdr:cNvPr>
          <xdr:cNvGrpSpPr/>
        </xdr:nvGrpSpPr>
        <xdr:grpSpPr>
          <a:xfrm>
            <a:off x="1830456" y="3325881"/>
            <a:ext cx="10419522" cy="5201478"/>
            <a:chOff x="11637065" y="2895186"/>
            <a:chExt cx="10419522" cy="5201478"/>
          </a:xfrm>
        </xdr:grpSpPr>
        <xdr:sp macro="" textlink="">
          <xdr:nvSpPr>
            <xdr:cNvPr id="17" name="Retângulo: Cantos Arredondados 16">
              <a:extLst>
                <a:ext uri="{FF2B5EF4-FFF2-40B4-BE49-F238E27FC236}">
                  <a16:creationId xmlns:a16="http://schemas.microsoft.com/office/drawing/2014/main" id="{73A2CA65-B655-51FA-AB07-6EDB2CBC2663}"/>
                </a:ext>
              </a:extLst>
            </xdr:cNvPr>
            <xdr:cNvSpPr/>
          </xdr:nvSpPr>
          <xdr:spPr>
            <a:xfrm>
              <a:off x="11637065" y="2895186"/>
              <a:ext cx="10419522" cy="5201478"/>
            </a:xfrm>
            <a:prstGeom prst="roundRect">
              <a:avLst>
                <a:gd name="adj" fmla="val 3952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369E89EE-74D0-4365-88FB-70E263AA3A9F}"/>
                </a:ext>
              </a:extLst>
            </xdr:cNvPr>
            <xdr:cNvGraphicFramePr>
              <a:graphicFrameLocks/>
            </xdr:cNvGraphicFramePr>
          </xdr:nvGraphicFramePr>
          <xdr:xfrm>
            <a:off x="11854683" y="3197087"/>
            <a:ext cx="9299100" cy="47339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  <xdr:sp macro="" textlink="">
        <xdr:nvSpPr>
          <xdr:cNvPr id="19" name="Retângulo: Cantos Superiores Arredondados 18">
            <a:extLst>
              <a:ext uri="{FF2B5EF4-FFF2-40B4-BE49-F238E27FC236}">
                <a16:creationId xmlns:a16="http://schemas.microsoft.com/office/drawing/2014/main" id="{B4EA40AF-B795-CF74-A00D-0CD098AA6319}"/>
              </a:ext>
            </a:extLst>
          </xdr:cNvPr>
          <xdr:cNvSpPr/>
        </xdr:nvSpPr>
        <xdr:spPr>
          <a:xfrm>
            <a:off x="1838739" y="3060838"/>
            <a:ext cx="10419522" cy="571500"/>
          </a:xfrm>
          <a:prstGeom prst="round2SameRect">
            <a:avLst>
              <a:gd name="adj1" fmla="val 25430"/>
              <a:gd name="adj2" fmla="val 0"/>
            </a:avLst>
          </a:prstGeom>
          <a:solidFill>
            <a:srgbClr val="BE0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400"/>
              <a:t>Receita Total por Produto</a:t>
            </a:r>
          </a:p>
        </xdr:txBody>
      </xdr:sp>
    </xdr:grpSp>
    <xdr:clientData/>
  </xdr:twoCellAnchor>
  <xdr:twoCellAnchor>
    <xdr:from>
      <xdr:col>4</xdr:col>
      <xdr:colOff>0</xdr:colOff>
      <xdr:row>5</xdr:row>
      <xdr:rowOff>95250</xdr:rowOff>
    </xdr:from>
    <xdr:to>
      <xdr:col>9</xdr:col>
      <xdr:colOff>8283</xdr:colOff>
      <xdr:row>11</xdr:row>
      <xdr:rowOff>95250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6A1F35DE-DB0C-FE79-70F3-965D858F26F1}"/>
            </a:ext>
          </a:extLst>
        </xdr:cNvPr>
        <xdr:cNvGrpSpPr/>
      </xdr:nvGrpSpPr>
      <xdr:grpSpPr>
        <a:xfrm>
          <a:off x="2420471" y="2403662"/>
          <a:ext cx="3033871" cy="1143000"/>
          <a:chOff x="2443369" y="2302565"/>
          <a:chExt cx="3072848" cy="1143000"/>
        </a:xfrm>
      </xdr:grpSpPr>
      <xdr:sp macro="" textlink="">
        <xdr:nvSpPr>
          <xdr:cNvPr id="22" name="Retângulo: Cantos Arredondados 21">
            <a:extLst>
              <a:ext uri="{FF2B5EF4-FFF2-40B4-BE49-F238E27FC236}">
                <a16:creationId xmlns:a16="http://schemas.microsoft.com/office/drawing/2014/main" id="{7FD84106-35B4-1C81-13C3-A3A7E81E330B}"/>
              </a:ext>
            </a:extLst>
          </xdr:cNvPr>
          <xdr:cNvSpPr/>
        </xdr:nvSpPr>
        <xdr:spPr>
          <a:xfrm>
            <a:off x="2443369" y="2302565"/>
            <a:ext cx="3072848" cy="1143000"/>
          </a:xfrm>
          <a:prstGeom prst="roundRect">
            <a:avLst>
              <a:gd name="adj" fmla="val 16304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  <a:p>
            <a:pPr algn="l"/>
            <a:endParaRPr lang="pt-BR" sz="1100"/>
          </a:p>
          <a:p>
            <a:pPr algn="l"/>
            <a:endParaRPr lang="pt-BR" sz="1100"/>
          </a:p>
          <a:p>
            <a:pPr algn="l"/>
            <a:endParaRPr lang="pt-BR" sz="1100"/>
          </a:p>
          <a:p>
            <a:pPr algn="l"/>
            <a:endParaRPr lang="pt-BR" sz="1100"/>
          </a:p>
        </xdr:txBody>
      </xdr:sp>
      <xdr:sp macro="" textlink="">
        <xdr:nvSpPr>
          <xdr:cNvPr id="25" name="Retângulo: Cantos Superiores Arredondados 24">
            <a:extLst>
              <a:ext uri="{FF2B5EF4-FFF2-40B4-BE49-F238E27FC236}">
                <a16:creationId xmlns:a16="http://schemas.microsoft.com/office/drawing/2014/main" id="{CB43F2CD-6B47-EF42-7430-38CA553E4397}"/>
              </a:ext>
            </a:extLst>
          </xdr:cNvPr>
          <xdr:cNvSpPr/>
        </xdr:nvSpPr>
        <xdr:spPr>
          <a:xfrm>
            <a:off x="2451652" y="2302565"/>
            <a:ext cx="3064565" cy="381000"/>
          </a:xfrm>
          <a:prstGeom prst="round2SameRect">
            <a:avLst>
              <a:gd name="adj1" fmla="val 32065"/>
              <a:gd name="adj2" fmla="val 0"/>
            </a:avLst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600"/>
              <a:t>Total Faturado</a:t>
            </a:r>
            <a:endParaRPr lang="pt-BR" sz="2000"/>
          </a:p>
          <a:p>
            <a:pPr algn="l"/>
            <a:endParaRPr lang="pt-BR" sz="1800"/>
          </a:p>
        </xdr:txBody>
      </xdr:sp>
      <xdr:pic>
        <xdr:nvPicPr>
          <xdr:cNvPr id="26" name="Imagem 25">
            <a:extLst>
              <a:ext uri="{FF2B5EF4-FFF2-40B4-BE49-F238E27FC236}">
                <a16:creationId xmlns:a16="http://schemas.microsoft.com/office/drawing/2014/main" id="{48308AE9-812B-4A55-A4ED-C22B28545AB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ackgroundRemoval t="16429" b="84286" l="19378" r="84940">
                        <a14:foregroundMark x1="31928" y1="50714" x2="31928" y2="50714"/>
                        <a14:foregroundMark x1="41466" y1="30714" x2="41466" y2="30714"/>
                        <a14:foregroundMark x1="37550" y1="31020" x2="37550" y2="31020"/>
                        <a14:foregroundMark x1="32329" y1="31020" x2="32329" y2="31020"/>
                        <a14:foregroundMark x1="54116" y1="16429" x2="54116" y2="16429"/>
                        <a14:foregroundMark x1="68273" y1="20612" x2="68273" y2="20612"/>
                        <a14:foregroundMark x1="71687" y1="25816" x2="71687" y2="25816"/>
                        <a14:foregroundMark x1="73293" y1="33061" x2="73293" y2="33061"/>
                        <a14:foregroundMark x1="70683" y1="65000" x2="70683" y2="65000"/>
                        <a14:foregroundMark x1="69578" y1="68673" x2="69578" y2="68673"/>
                        <a14:foregroundMark x1="62249" y1="65204" x2="62249" y2="65204"/>
                        <a14:foregroundMark x1="54518" y1="64592" x2="54518" y2="64592"/>
                        <a14:foregroundMark x1="47088" y1="60000" x2="47088" y2="60000"/>
                        <a14:foregroundMark x1="42369" y1="59898" x2="42369" y2="59898"/>
                        <a14:foregroundMark x1="37550" y1="59898" x2="37550" y2="59898"/>
                        <a14:foregroundMark x1="32831" y1="60000" x2="32831" y2="60000"/>
                        <a14:foregroundMark x1="28815" y1="60000" x2="28815" y2="60000"/>
                        <a14:foregroundMark x1="26908" y1="64388" x2="26908" y2="64388"/>
                        <a14:foregroundMark x1="31627" y1="64592" x2="31627" y2="64592"/>
                        <a14:foregroundMark x1="36546" y1="64592" x2="36546" y2="64592"/>
                        <a14:foregroundMark x1="41265" y1="64388" x2="41265" y2="64388"/>
                        <a14:foregroundMark x1="44378" y1="64490" x2="44378" y2="64490"/>
                        <a14:foregroundMark x1="24799" y1="84286" x2="24799" y2="84286"/>
                      </a14:backgroundRemoval>
                    </a14:imgEffect>
                  </a14:imgLayer>
                </a14:imgProps>
              </a:ext>
            </a:extLst>
          </a:blip>
          <a:srcRect l="11210" t="11592" r="6833" b="12000"/>
          <a:stretch>
            <a:fillRect/>
          </a:stretch>
        </xdr:blipFill>
        <xdr:spPr>
          <a:xfrm>
            <a:off x="2559326" y="2741543"/>
            <a:ext cx="625787" cy="571500"/>
          </a:xfrm>
          <a:prstGeom prst="rect">
            <a:avLst/>
          </a:prstGeom>
        </xdr:spPr>
      </xdr:pic>
      <xdr:sp macro="" textlink="Cálculos!J2">
        <xdr:nvSpPr>
          <xdr:cNvPr id="28" name="CaixaDeTexto 27">
            <a:extLst>
              <a:ext uri="{FF2B5EF4-FFF2-40B4-BE49-F238E27FC236}">
                <a16:creationId xmlns:a16="http://schemas.microsoft.com/office/drawing/2014/main" id="{36EBA948-5CA0-C936-E37B-18BD9E4648EB}"/>
              </a:ext>
            </a:extLst>
          </xdr:cNvPr>
          <xdr:cNvSpPr txBox="1"/>
        </xdr:nvSpPr>
        <xdr:spPr>
          <a:xfrm>
            <a:off x="3362739" y="2874065"/>
            <a:ext cx="1838739" cy="3810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fld id="{4C34DA90-5F37-4A1C-A3F1-2E024F822380}" type="TxLink">
              <a:rPr lang="en-US" sz="2000" b="0" i="0" u="none" strike="noStrike">
                <a:solidFill>
                  <a:srgbClr val="000000"/>
                </a:solidFill>
                <a:latin typeface="Aptos Narrow"/>
              </a:rPr>
              <a:t> R$ 25.891,42 </a:t>
            </a:fld>
            <a:endParaRPr lang="pt-BR" sz="4400"/>
          </a:p>
        </xdr:txBody>
      </xdr:sp>
    </xdr:grpSp>
    <xdr:clientData/>
  </xdr:twoCellAnchor>
  <xdr:twoCellAnchor>
    <xdr:from>
      <xdr:col>9</xdr:col>
      <xdr:colOff>608358</xdr:colOff>
      <xdr:row>5</xdr:row>
      <xdr:rowOff>95250</xdr:rowOff>
    </xdr:from>
    <xdr:to>
      <xdr:col>15</xdr:col>
      <xdr:colOff>3727</xdr:colOff>
      <xdr:row>11</xdr:row>
      <xdr:rowOff>95250</xdr:rowOff>
    </xdr:to>
    <xdr:grpSp>
      <xdr:nvGrpSpPr>
        <xdr:cNvPr id="49" name="Agrupar 48">
          <a:extLst>
            <a:ext uri="{FF2B5EF4-FFF2-40B4-BE49-F238E27FC236}">
              <a16:creationId xmlns:a16="http://schemas.microsoft.com/office/drawing/2014/main" id="{F980C72D-49F3-D2DF-D845-EB8885D03D15}"/>
            </a:ext>
          </a:extLst>
        </xdr:cNvPr>
        <xdr:cNvGrpSpPr/>
      </xdr:nvGrpSpPr>
      <xdr:grpSpPr>
        <a:xfrm>
          <a:off x="6054417" y="2403662"/>
          <a:ext cx="3026075" cy="1143000"/>
          <a:chOff x="6120848" y="2319130"/>
          <a:chExt cx="3072848" cy="1143000"/>
        </a:xfrm>
      </xdr:grpSpPr>
      <xdr:grpSp>
        <xdr:nvGrpSpPr>
          <xdr:cNvPr id="31" name="Agrupar 30">
            <a:extLst>
              <a:ext uri="{FF2B5EF4-FFF2-40B4-BE49-F238E27FC236}">
                <a16:creationId xmlns:a16="http://schemas.microsoft.com/office/drawing/2014/main" id="{EA8BD3D7-76C0-4A15-886F-F7A43418B54B}"/>
              </a:ext>
            </a:extLst>
          </xdr:cNvPr>
          <xdr:cNvGrpSpPr/>
        </xdr:nvGrpSpPr>
        <xdr:grpSpPr>
          <a:xfrm>
            <a:off x="6120848" y="2319130"/>
            <a:ext cx="3072848" cy="1143000"/>
            <a:chOff x="2443369" y="2302565"/>
            <a:chExt cx="3072848" cy="1143000"/>
          </a:xfrm>
        </xdr:grpSpPr>
        <xdr:sp macro="" textlink="">
          <xdr:nvSpPr>
            <xdr:cNvPr id="32" name="Retângulo: Cantos Arredondados 31">
              <a:extLst>
                <a:ext uri="{FF2B5EF4-FFF2-40B4-BE49-F238E27FC236}">
                  <a16:creationId xmlns:a16="http://schemas.microsoft.com/office/drawing/2014/main" id="{6A98DA69-B509-A188-AD1F-DB345C86A3D5}"/>
                </a:ext>
              </a:extLst>
            </xdr:cNvPr>
            <xdr:cNvSpPr/>
          </xdr:nvSpPr>
          <xdr:spPr>
            <a:xfrm>
              <a:off x="2443369" y="2302565"/>
              <a:ext cx="3072848" cy="1143000"/>
            </a:xfrm>
            <a:prstGeom prst="roundRect">
              <a:avLst>
                <a:gd name="adj" fmla="val 16304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  <a:p>
              <a:pPr algn="l"/>
              <a:endParaRPr lang="pt-BR" sz="1100"/>
            </a:p>
            <a:p>
              <a:pPr algn="l"/>
              <a:endParaRPr lang="pt-BR" sz="1100"/>
            </a:p>
            <a:p>
              <a:pPr algn="l"/>
              <a:endParaRPr lang="pt-BR" sz="1100"/>
            </a:p>
            <a:p>
              <a:pPr algn="l"/>
              <a:endParaRPr lang="pt-BR" sz="1100"/>
            </a:p>
          </xdr:txBody>
        </xdr:sp>
        <xdr:sp macro="" textlink="">
          <xdr:nvSpPr>
            <xdr:cNvPr id="33" name="Retângulo: Cantos Superiores Arredondados 32">
              <a:extLst>
                <a:ext uri="{FF2B5EF4-FFF2-40B4-BE49-F238E27FC236}">
                  <a16:creationId xmlns:a16="http://schemas.microsoft.com/office/drawing/2014/main" id="{A78C6359-4B56-2DA3-C1EC-B1FF6791F31C}"/>
                </a:ext>
              </a:extLst>
            </xdr:cNvPr>
            <xdr:cNvSpPr/>
          </xdr:nvSpPr>
          <xdr:spPr>
            <a:xfrm>
              <a:off x="2451652" y="2302565"/>
              <a:ext cx="3064565" cy="381000"/>
            </a:xfrm>
            <a:prstGeom prst="round2SameRect">
              <a:avLst>
                <a:gd name="adj1" fmla="val 32065"/>
                <a:gd name="adj2" fmla="val 0"/>
              </a:avLst>
            </a:prstGeom>
            <a:solidFill>
              <a:srgbClr val="C0000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pt-BR" sz="1600"/>
                <a:t>Total de</a:t>
              </a:r>
              <a:r>
                <a:rPr lang="pt-BR" sz="1600" baseline="0"/>
                <a:t> Itens vendidos</a:t>
              </a:r>
              <a:endParaRPr lang="pt-BR" sz="2000"/>
            </a:p>
            <a:p>
              <a:pPr algn="l"/>
              <a:endParaRPr lang="pt-BR" sz="1800"/>
            </a:p>
          </xdr:txBody>
        </xdr:sp>
        <xdr:sp macro="" textlink="Cálculos!G2">
          <xdr:nvSpPr>
            <xdr:cNvPr id="35" name="CaixaDeTexto 34">
              <a:extLst>
                <a:ext uri="{FF2B5EF4-FFF2-40B4-BE49-F238E27FC236}">
                  <a16:creationId xmlns:a16="http://schemas.microsoft.com/office/drawing/2014/main" id="{C1AE40F4-96E0-D370-9649-5B8AB96E93F5}"/>
                </a:ext>
              </a:extLst>
            </xdr:cNvPr>
            <xdr:cNvSpPr txBox="1"/>
          </xdr:nvSpPr>
          <xdr:spPr>
            <a:xfrm>
              <a:off x="3362739" y="2874065"/>
              <a:ext cx="1838739" cy="381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algn="ctr"/>
              <a:fld id="{54EBA954-29AC-40A7-A84A-E78C760F6A0F}" type="TxLink">
                <a:rPr lang="en-US" sz="2400" b="0" i="0" u="none" strike="noStrike">
                  <a:solidFill>
                    <a:srgbClr val="000000"/>
                  </a:solidFill>
                  <a:latin typeface="Aptos Narrow"/>
                </a:rPr>
                <a:t>231</a:t>
              </a:fld>
              <a:endParaRPr lang="pt-BR" sz="4800"/>
            </a:p>
          </xdr:txBody>
        </xdr:sp>
      </xdr:grpSp>
      <xdr:pic>
        <xdr:nvPicPr>
          <xdr:cNvPr id="30" name="Imagem 29" descr="Quantidade - ícones de comércio e compras grátis">
            <a:extLst>
              <a:ext uri="{FF2B5EF4-FFF2-40B4-BE49-F238E27FC236}">
                <a16:creationId xmlns:a16="http://schemas.microsoft.com/office/drawing/2014/main" id="{B45E1E11-E452-4BE3-8CE0-FEDD2385077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253369" y="2749826"/>
            <a:ext cx="506904" cy="5052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15</xdr:col>
      <xdr:colOff>603802</xdr:colOff>
      <xdr:row>5</xdr:row>
      <xdr:rowOff>95250</xdr:rowOff>
    </xdr:from>
    <xdr:to>
      <xdr:col>21</xdr:col>
      <xdr:colOff>2485</xdr:colOff>
      <xdr:row>11</xdr:row>
      <xdr:rowOff>95250</xdr:rowOff>
    </xdr:to>
    <xdr:grpSp>
      <xdr:nvGrpSpPr>
        <xdr:cNvPr id="48" name="Agrupar 47">
          <a:extLst>
            <a:ext uri="{FF2B5EF4-FFF2-40B4-BE49-F238E27FC236}">
              <a16:creationId xmlns:a16="http://schemas.microsoft.com/office/drawing/2014/main" id="{05DF3A15-2223-8DE0-532E-0067DAB21414}"/>
            </a:ext>
          </a:extLst>
        </xdr:cNvPr>
        <xdr:cNvGrpSpPr/>
      </xdr:nvGrpSpPr>
      <xdr:grpSpPr>
        <a:xfrm>
          <a:off x="9680567" y="2403662"/>
          <a:ext cx="3029389" cy="1143000"/>
          <a:chOff x="9806609" y="2302565"/>
          <a:chExt cx="3072848" cy="1143000"/>
        </a:xfrm>
      </xdr:grpSpPr>
      <xdr:grpSp>
        <xdr:nvGrpSpPr>
          <xdr:cNvPr id="36" name="Agrupar 35">
            <a:extLst>
              <a:ext uri="{FF2B5EF4-FFF2-40B4-BE49-F238E27FC236}">
                <a16:creationId xmlns:a16="http://schemas.microsoft.com/office/drawing/2014/main" id="{5A6F58AD-A85D-4F28-B218-4BCE30DB7E85}"/>
              </a:ext>
            </a:extLst>
          </xdr:cNvPr>
          <xdr:cNvGrpSpPr/>
        </xdr:nvGrpSpPr>
        <xdr:grpSpPr>
          <a:xfrm>
            <a:off x="9806609" y="2302565"/>
            <a:ext cx="3072848" cy="1143000"/>
            <a:chOff x="2443369" y="2302565"/>
            <a:chExt cx="3072848" cy="1143000"/>
          </a:xfrm>
        </xdr:grpSpPr>
        <xdr:sp macro="" textlink="">
          <xdr:nvSpPr>
            <xdr:cNvPr id="37" name="Retângulo: Cantos Arredondados 36">
              <a:extLst>
                <a:ext uri="{FF2B5EF4-FFF2-40B4-BE49-F238E27FC236}">
                  <a16:creationId xmlns:a16="http://schemas.microsoft.com/office/drawing/2014/main" id="{72C8C8D8-8348-01F0-BD91-B45D6E8D1FE7}"/>
                </a:ext>
              </a:extLst>
            </xdr:cNvPr>
            <xdr:cNvSpPr/>
          </xdr:nvSpPr>
          <xdr:spPr>
            <a:xfrm>
              <a:off x="2443369" y="2302565"/>
              <a:ext cx="3072848" cy="1143000"/>
            </a:xfrm>
            <a:prstGeom prst="roundRect">
              <a:avLst>
                <a:gd name="adj" fmla="val 16304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  <a:p>
              <a:pPr algn="l"/>
              <a:endParaRPr lang="pt-BR" sz="1100"/>
            </a:p>
            <a:p>
              <a:pPr algn="l"/>
              <a:endParaRPr lang="pt-BR" sz="1100"/>
            </a:p>
            <a:p>
              <a:pPr algn="l"/>
              <a:endParaRPr lang="pt-BR" sz="1100"/>
            </a:p>
            <a:p>
              <a:pPr algn="l"/>
              <a:endParaRPr lang="pt-BR" sz="1100"/>
            </a:p>
          </xdr:txBody>
        </xdr:sp>
        <xdr:sp macro="" textlink="">
          <xdr:nvSpPr>
            <xdr:cNvPr id="38" name="Retângulo: Cantos Superiores Arredondados 37">
              <a:extLst>
                <a:ext uri="{FF2B5EF4-FFF2-40B4-BE49-F238E27FC236}">
                  <a16:creationId xmlns:a16="http://schemas.microsoft.com/office/drawing/2014/main" id="{4AF3376A-BAF4-53DC-A425-DC03865B4577}"/>
                </a:ext>
              </a:extLst>
            </xdr:cNvPr>
            <xdr:cNvSpPr/>
          </xdr:nvSpPr>
          <xdr:spPr>
            <a:xfrm>
              <a:off x="2451652" y="2302565"/>
              <a:ext cx="3064565" cy="381000"/>
            </a:xfrm>
            <a:prstGeom prst="round2SameRect">
              <a:avLst>
                <a:gd name="adj1" fmla="val 32065"/>
                <a:gd name="adj2" fmla="val 0"/>
              </a:avLst>
            </a:prstGeom>
            <a:solidFill>
              <a:srgbClr val="C0000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pt-BR" sz="1600"/>
                <a:t>Funcionário melhor faturamento</a:t>
              </a:r>
            </a:p>
          </xdr:txBody>
        </xdr:sp>
        <xdr:sp macro="" textlink="Cálculos!AB2">
          <xdr:nvSpPr>
            <xdr:cNvPr id="39" name="CaixaDeTexto 38">
              <a:extLst>
                <a:ext uri="{FF2B5EF4-FFF2-40B4-BE49-F238E27FC236}">
                  <a16:creationId xmlns:a16="http://schemas.microsoft.com/office/drawing/2014/main" id="{B9F646C0-B96A-0675-F817-E91F6B00D4F7}"/>
                </a:ext>
              </a:extLst>
            </xdr:cNvPr>
            <xdr:cNvSpPr txBox="1"/>
          </xdr:nvSpPr>
          <xdr:spPr>
            <a:xfrm>
              <a:off x="3362739" y="2874065"/>
              <a:ext cx="1838739" cy="381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algn="ctr"/>
              <a:fld id="{DE70E1D2-2C2A-40EF-9016-528B377144D2}" type="TxLink">
                <a:rPr lang="en-US" sz="2400" b="0" i="0" u="none" strike="noStrike">
                  <a:solidFill>
                    <a:srgbClr val="000000"/>
                  </a:solidFill>
                  <a:latin typeface="Aptos Narrow"/>
                </a:rPr>
                <a:t>Carlos</a:t>
              </a:fld>
              <a:endParaRPr lang="pt-BR" sz="4800"/>
            </a:p>
          </xdr:txBody>
        </xdr:sp>
      </xdr:grpSp>
      <xdr:pic>
        <xdr:nvPicPr>
          <xdr:cNvPr id="41" name="Imagem 40" descr="Vendas icon: 3,2 milhões imagens, fotos e ilustrações stock livres de  direitos | Shutterstock">
            <a:extLst>
              <a:ext uri="{FF2B5EF4-FFF2-40B4-BE49-F238E27FC236}">
                <a16:creationId xmlns:a16="http://schemas.microsoft.com/office/drawing/2014/main" id="{56C6FA73-0CBA-4BDF-8E68-0444B5A295E0}"/>
              </a:ext>
            </a:extLst>
          </xdr:cNvPr>
          <xdr:cNvPicPr preferRelativeResize="0">
            <a:picLocks noChangeArrowheads="1"/>
          </xdr:cNvPicPr>
        </xdr:nvPicPr>
        <xdr:blipFill rotWithShape="1">
          <a:blip xmlns:r="http://schemas.openxmlformats.org/officeDocument/2006/relationships" r:embed="rId7" cstate="print">
            <a:extLst>
              <a:ext uri="{BEBA8EAE-BF5A-486C-A8C5-ECC9F3942E4B}">
                <a14:imgProps xmlns:a14="http://schemas.microsoft.com/office/drawing/2010/main">
                  <a14:imgLayer r:embed="rId8">
                    <a14:imgEffect>
                      <a14:backgroundRemoval t="11071" b="82500" l="10000" r="90000">
                        <a14:foregroundMark x1="33462" y1="81429" x2="33462" y2="81429"/>
                        <a14:foregroundMark x1="48077" y1="82500" x2="48077" y2="82500"/>
                        <a14:foregroundMark x1="51923" y1="82857" x2="51923" y2="82857"/>
                        <a14:foregroundMark x1="56538" y1="59286" x2="56538" y2="59286"/>
                        <a14:foregroundMark x1="48462" y1="48571" x2="48462" y2="48571"/>
                        <a14:foregroundMark x1="70769" y1="43929" x2="70769" y2="43929"/>
                        <a14:foregroundMark x1="68462" y1="56429" x2="68462" y2="56429"/>
                        <a14:foregroundMark x1="72692" y1="65357" x2="72692" y2="65357"/>
                        <a14:foregroundMark x1="75769" y1="70000" x2="75769" y2="70000"/>
                        <a14:foregroundMark x1="75769" y1="74643" x2="75769" y2="74643"/>
                        <a14:foregroundMark x1="83846" y1="75000" x2="83846" y2="75000"/>
                        <a14:foregroundMark x1="62692" y1="24286" x2="62692" y2="24286"/>
                        <a14:foregroundMark x1="50000" y1="17500" x2="50000" y2="17500"/>
                        <a14:foregroundMark x1="51923" y1="11071" x2="51923" y2="11071"/>
                        <a14:foregroundMark x1="34231" y1="49643" x2="34231" y2="49643"/>
                        <a14:foregroundMark x1="30769" y1="51429" x2="30769" y2="51429"/>
                        <a14:foregroundMark x1="22308" y1="64643" x2="22308" y2="64643"/>
                      </a14:backgroundRemoval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t="7296" b="14537"/>
          <a:stretch>
            <a:fillRect/>
          </a:stretch>
        </xdr:blipFill>
        <xdr:spPr bwMode="auto">
          <a:xfrm>
            <a:off x="9944629" y="2749826"/>
            <a:ext cx="615698" cy="51352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21</xdr:col>
      <xdr:colOff>602560</xdr:colOff>
      <xdr:row>5</xdr:row>
      <xdr:rowOff>95250</xdr:rowOff>
    </xdr:from>
    <xdr:to>
      <xdr:col>27</xdr:col>
      <xdr:colOff>1243</xdr:colOff>
      <xdr:row>11</xdr:row>
      <xdr:rowOff>95250</xdr:rowOff>
    </xdr:to>
    <xdr:grpSp>
      <xdr:nvGrpSpPr>
        <xdr:cNvPr id="47" name="Agrupar 46">
          <a:extLst>
            <a:ext uri="{FF2B5EF4-FFF2-40B4-BE49-F238E27FC236}">
              <a16:creationId xmlns:a16="http://schemas.microsoft.com/office/drawing/2014/main" id="{512B2EA0-6C68-3E71-9798-936C8A2C3824}"/>
            </a:ext>
          </a:extLst>
        </xdr:cNvPr>
        <xdr:cNvGrpSpPr/>
      </xdr:nvGrpSpPr>
      <xdr:grpSpPr>
        <a:xfrm>
          <a:off x="13310031" y="2403662"/>
          <a:ext cx="3029388" cy="1143000"/>
          <a:chOff x="13475804" y="2310847"/>
          <a:chExt cx="3072848" cy="1143000"/>
        </a:xfrm>
      </xdr:grpSpPr>
      <xdr:grpSp>
        <xdr:nvGrpSpPr>
          <xdr:cNvPr id="42" name="Agrupar 41">
            <a:extLst>
              <a:ext uri="{FF2B5EF4-FFF2-40B4-BE49-F238E27FC236}">
                <a16:creationId xmlns:a16="http://schemas.microsoft.com/office/drawing/2014/main" id="{A82EDA07-F939-40AD-BE8D-AF5937F3EF33}"/>
              </a:ext>
            </a:extLst>
          </xdr:cNvPr>
          <xdr:cNvGrpSpPr/>
        </xdr:nvGrpSpPr>
        <xdr:grpSpPr>
          <a:xfrm>
            <a:off x="13475804" y="2310847"/>
            <a:ext cx="3072848" cy="1143000"/>
            <a:chOff x="2443369" y="2302565"/>
            <a:chExt cx="3072848" cy="1143000"/>
          </a:xfrm>
        </xdr:grpSpPr>
        <xdr:sp macro="" textlink="">
          <xdr:nvSpPr>
            <xdr:cNvPr id="43" name="Retângulo: Cantos Arredondados 42">
              <a:extLst>
                <a:ext uri="{FF2B5EF4-FFF2-40B4-BE49-F238E27FC236}">
                  <a16:creationId xmlns:a16="http://schemas.microsoft.com/office/drawing/2014/main" id="{12C383CA-D8FA-5C0A-0513-7441E2A2887D}"/>
                </a:ext>
              </a:extLst>
            </xdr:cNvPr>
            <xdr:cNvSpPr/>
          </xdr:nvSpPr>
          <xdr:spPr>
            <a:xfrm>
              <a:off x="2443369" y="2302565"/>
              <a:ext cx="3072848" cy="1143000"/>
            </a:xfrm>
            <a:prstGeom prst="roundRect">
              <a:avLst>
                <a:gd name="adj" fmla="val 16304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  <a:p>
              <a:pPr algn="l"/>
              <a:endParaRPr lang="pt-BR" sz="1100"/>
            </a:p>
            <a:p>
              <a:pPr algn="l"/>
              <a:endParaRPr lang="pt-BR" sz="1100"/>
            </a:p>
            <a:p>
              <a:pPr algn="l"/>
              <a:endParaRPr lang="pt-BR" sz="1100"/>
            </a:p>
            <a:p>
              <a:pPr algn="l"/>
              <a:endParaRPr lang="pt-BR" sz="1100"/>
            </a:p>
          </xdr:txBody>
        </xdr:sp>
        <xdr:sp macro="" textlink="">
          <xdr:nvSpPr>
            <xdr:cNvPr id="44" name="Retângulo: Cantos Superiores Arredondados 43">
              <a:extLst>
                <a:ext uri="{FF2B5EF4-FFF2-40B4-BE49-F238E27FC236}">
                  <a16:creationId xmlns:a16="http://schemas.microsoft.com/office/drawing/2014/main" id="{97EA80C2-2A7C-95B9-2825-A517777AF210}"/>
                </a:ext>
              </a:extLst>
            </xdr:cNvPr>
            <xdr:cNvSpPr/>
          </xdr:nvSpPr>
          <xdr:spPr>
            <a:xfrm>
              <a:off x="2451652" y="2302565"/>
              <a:ext cx="3064565" cy="381000"/>
            </a:xfrm>
            <a:prstGeom prst="round2SameRect">
              <a:avLst>
                <a:gd name="adj1" fmla="val 32065"/>
                <a:gd name="adj2" fmla="val 0"/>
              </a:avLst>
            </a:prstGeom>
            <a:solidFill>
              <a:srgbClr val="C0000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pt-BR" sz="1600"/>
                <a:t>Funcionário com</a:t>
              </a:r>
              <a:r>
                <a:rPr lang="pt-BR" sz="1600" baseline="0"/>
                <a:t> mais vendas</a:t>
              </a:r>
              <a:endParaRPr lang="pt-BR" sz="1600"/>
            </a:p>
          </xdr:txBody>
        </xdr:sp>
        <xdr:sp macro="" textlink="Cálculos!AB2">
          <xdr:nvSpPr>
            <xdr:cNvPr id="45" name="CaixaDeTexto 44">
              <a:extLst>
                <a:ext uri="{FF2B5EF4-FFF2-40B4-BE49-F238E27FC236}">
                  <a16:creationId xmlns:a16="http://schemas.microsoft.com/office/drawing/2014/main" id="{290436B2-48A6-0976-C2F9-27B1CAD1B36C}"/>
                </a:ext>
              </a:extLst>
            </xdr:cNvPr>
            <xdr:cNvSpPr txBox="1"/>
          </xdr:nvSpPr>
          <xdr:spPr>
            <a:xfrm>
              <a:off x="3362739" y="2874065"/>
              <a:ext cx="1838739" cy="381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algn="ctr"/>
              <a:fld id="{DE70E1D2-2C2A-40EF-9016-528B377144D2}" type="TxLink">
                <a:rPr lang="en-US" sz="2400" b="0" i="0" u="none" strike="noStrike">
                  <a:solidFill>
                    <a:srgbClr val="000000"/>
                  </a:solidFill>
                  <a:latin typeface="Aptos Narrow"/>
                </a:rPr>
                <a:t>Total Geral</a:t>
              </a:fld>
              <a:endParaRPr lang="pt-BR" sz="4800"/>
            </a:p>
          </xdr:txBody>
        </xdr:sp>
      </xdr:grpSp>
      <xdr:pic>
        <xdr:nvPicPr>
          <xdr:cNvPr id="46" name="Imagem 45">
            <a:extLst>
              <a:ext uri="{FF2B5EF4-FFF2-40B4-BE49-F238E27FC236}">
                <a16:creationId xmlns:a16="http://schemas.microsoft.com/office/drawing/2014/main" id="{C93002EB-E34A-4FE7-9CD8-A59C050448D7}"/>
              </a:ext>
            </a:extLst>
          </xdr:cNvPr>
          <xdr:cNvPicPr preferRelativeResize="0">
            <a:picLocks/>
          </xdr:cNvPicPr>
        </xdr:nvPicPr>
        <xdr:blipFill rotWithShape="1">
          <a:blip xmlns:r="http://schemas.openxmlformats.org/officeDocument/2006/relationships" r:embed="rId9">
            <a:extLst>
              <a:ext uri="{BEBA8EAE-BF5A-486C-A8C5-ECC9F3942E4B}">
                <a14:imgProps xmlns:a14="http://schemas.microsoft.com/office/drawing/2010/main">
                  <a14:imgLayer r:embed="rId10">
                    <a14:imgEffect>
                      <a14:backgroundRemoval t="10000" b="90000" l="10000" r="90000">
                        <a14:foregroundMark x1="32000" y1="33778" x2="32000" y2="33778"/>
                        <a14:foregroundMark x1="41778" y1="34667" x2="41778" y2="34667"/>
                        <a14:foregroundMark x1="28444" y1="23111" x2="28444" y2="23111"/>
                        <a14:foregroundMark x1="22667" y1="37778" x2="22667" y2="37778"/>
                        <a14:foregroundMark x1="29333" y1="67111" x2="29333" y2="67111"/>
                        <a14:backgroundMark x1="30667" y1="48889" x2="30667" y2="48889"/>
                        <a14:backgroundMark x1="21333" y1="48889" x2="48000" y2="48444"/>
                        <a14:backgroundMark x1="48000" y1="48444" x2="48000" y2="48444"/>
                        <a14:backgroundMark x1="27111" y1="39556" x2="27111" y2="39556"/>
                        <a14:backgroundMark x1="46667" y1="34222" x2="46667" y2="34222"/>
                      </a14:backgroundRemoval>
                    </a14:imgEffect>
                  </a14:imgLayer>
                </a14:imgProps>
              </a:ext>
            </a:extLst>
          </a:blip>
          <a:srcRect r="-5717"/>
          <a:stretch>
            <a:fillRect/>
          </a:stretch>
        </xdr:blipFill>
        <xdr:spPr>
          <a:xfrm>
            <a:off x="13598582" y="2774673"/>
            <a:ext cx="672353" cy="571500"/>
          </a:xfrm>
          <a:prstGeom prst="rect">
            <a:avLst/>
          </a:prstGeom>
        </xdr:spPr>
      </xdr:pic>
    </xdr:grpSp>
    <xdr:clientData/>
  </xdr:twoCellAnchor>
  <xdr:twoCellAnchor>
    <xdr:from>
      <xdr:col>27</xdr:col>
      <xdr:colOff>601317</xdr:colOff>
      <xdr:row>5</xdr:row>
      <xdr:rowOff>95250</xdr:rowOff>
    </xdr:from>
    <xdr:to>
      <xdr:col>33</xdr:col>
      <xdr:colOff>0</xdr:colOff>
      <xdr:row>11</xdr:row>
      <xdr:rowOff>95250</xdr:rowOff>
    </xdr:to>
    <xdr:grpSp>
      <xdr:nvGrpSpPr>
        <xdr:cNvPr id="57" name="Agrupar 56">
          <a:extLst>
            <a:ext uri="{FF2B5EF4-FFF2-40B4-BE49-F238E27FC236}">
              <a16:creationId xmlns:a16="http://schemas.microsoft.com/office/drawing/2014/main" id="{50574AC7-67C2-3B93-ECBB-DE69468A1EDC}"/>
            </a:ext>
          </a:extLst>
        </xdr:cNvPr>
        <xdr:cNvGrpSpPr/>
      </xdr:nvGrpSpPr>
      <xdr:grpSpPr>
        <a:xfrm>
          <a:off x="16939493" y="2403662"/>
          <a:ext cx="3029389" cy="1143000"/>
          <a:chOff x="17060517" y="2419350"/>
          <a:chExt cx="3056283" cy="1143000"/>
        </a:xfrm>
      </xdr:grpSpPr>
      <xdr:grpSp>
        <xdr:nvGrpSpPr>
          <xdr:cNvPr id="51" name="Agrupar 50">
            <a:extLst>
              <a:ext uri="{FF2B5EF4-FFF2-40B4-BE49-F238E27FC236}">
                <a16:creationId xmlns:a16="http://schemas.microsoft.com/office/drawing/2014/main" id="{2BEDF2F4-12CD-401E-F9BD-106C86F72907}"/>
              </a:ext>
            </a:extLst>
          </xdr:cNvPr>
          <xdr:cNvGrpSpPr/>
        </xdr:nvGrpSpPr>
        <xdr:grpSpPr>
          <a:xfrm>
            <a:off x="17060517" y="2419350"/>
            <a:ext cx="3056283" cy="1143000"/>
            <a:chOff x="2443369" y="2302565"/>
            <a:chExt cx="3072848" cy="1143000"/>
          </a:xfrm>
        </xdr:grpSpPr>
        <xdr:sp macro="" textlink="">
          <xdr:nvSpPr>
            <xdr:cNvPr id="53" name="Retângulo: Cantos Arredondados 52">
              <a:extLst>
                <a:ext uri="{FF2B5EF4-FFF2-40B4-BE49-F238E27FC236}">
                  <a16:creationId xmlns:a16="http://schemas.microsoft.com/office/drawing/2014/main" id="{8983ACAF-11EC-1ED4-6A57-DED9ED9361DA}"/>
                </a:ext>
              </a:extLst>
            </xdr:cNvPr>
            <xdr:cNvSpPr/>
          </xdr:nvSpPr>
          <xdr:spPr>
            <a:xfrm>
              <a:off x="2443369" y="2302565"/>
              <a:ext cx="3072848" cy="1143000"/>
            </a:xfrm>
            <a:prstGeom prst="roundRect">
              <a:avLst>
                <a:gd name="adj" fmla="val 16304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  <a:p>
              <a:pPr algn="l"/>
              <a:endParaRPr lang="pt-BR" sz="1100"/>
            </a:p>
            <a:p>
              <a:pPr algn="l"/>
              <a:endParaRPr lang="pt-BR" sz="1100"/>
            </a:p>
            <a:p>
              <a:pPr algn="l"/>
              <a:endParaRPr lang="pt-BR" sz="1100"/>
            </a:p>
            <a:p>
              <a:pPr algn="l"/>
              <a:endParaRPr lang="pt-BR" sz="1100"/>
            </a:p>
          </xdr:txBody>
        </xdr:sp>
        <xdr:sp macro="" textlink="">
          <xdr:nvSpPr>
            <xdr:cNvPr id="54" name="Retângulo: Cantos Superiores Arredondados 53">
              <a:extLst>
                <a:ext uri="{FF2B5EF4-FFF2-40B4-BE49-F238E27FC236}">
                  <a16:creationId xmlns:a16="http://schemas.microsoft.com/office/drawing/2014/main" id="{6382E5E8-B5F1-4F81-AD48-CD54B6EA8B8B}"/>
                </a:ext>
              </a:extLst>
            </xdr:cNvPr>
            <xdr:cNvSpPr/>
          </xdr:nvSpPr>
          <xdr:spPr>
            <a:xfrm>
              <a:off x="2451652" y="2302565"/>
              <a:ext cx="3064565" cy="381000"/>
            </a:xfrm>
            <a:prstGeom prst="round2SameRect">
              <a:avLst>
                <a:gd name="adj1" fmla="val 32065"/>
                <a:gd name="adj2" fmla="val 0"/>
              </a:avLst>
            </a:prstGeom>
            <a:solidFill>
              <a:srgbClr val="C0000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pt-BR" sz="1600"/>
                <a:t>Valor</a:t>
              </a:r>
              <a:r>
                <a:rPr lang="pt-BR" sz="1600" baseline="0"/>
                <a:t> Total de Descontos</a:t>
              </a:r>
              <a:endParaRPr lang="pt-BR" sz="1600"/>
            </a:p>
          </xdr:txBody>
        </xdr:sp>
        <xdr:sp macro="" textlink="Cálculos!AE2">
          <xdr:nvSpPr>
            <xdr:cNvPr id="55" name="CaixaDeTexto 54">
              <a:extLst>
                <a:ext uri="{FF2B5EF4-FFF2-40B4-BE49-F238E27FC236}">
                  <a16:creationId xmlns:a16="http://schemas.microsoft.com/office/drawing/2014/main" id="{CF1FD983-A4E4-68B5-10F7-D34CB718CA3F}"/>
                </a:ext>
              </a:extLst>
            </xdr:cNvPr>
            <xdr:cNvSpPr txBox="1"/>
          </xdr:nvSpPr>
          <xdr:spPr>
            <a:xfrm>
              <a:off x="3362739" y="2874065"/>
              <a:ext cx="1838739" cy="381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algn="ctr"/>
              <a:fld id="{57517734-47D1-4530-910C-3E5ACAB95D59}" type="TxLink">
                <a:rPr lang="en-US" sz="2400" b="0" i="0" u="none" strike="noStrike">
                  <a:solidFill>
                    <a:srgbClr val="000000"/>
                  </a:solidFill>
                  <a:latin typeface="Aptos Narrow"/>
                </a:rPr>
                <a:t> R$ 1.710,50 </a:t>
              </a:fld>
              <a:endParaRPr lang="pt-BR" sz="8800"/>
            </a:p>
          </xdr:txBody>
        </xdr:sp>
      </xdr:grpSp>
      <xdr:pic>
        <xdr:nvPicPr>
          <xdr:cNvPr id="56" name="Imagem 55" descr="Etiqueta de desconto - ícones de comércio e compras grátis">
            <a:extLst>
              <a:ext uri="{FF2B5EF4-FFF2-40B4-BE49-F238E27FC236}">
                <a16:creationId xmlns:a16="http://schemas.microsoft.com/office/drawing/2014/main" id="{6B98DEEE-19C4-4FDF-AB4B-3E4BEEAB4AD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1" cstate="print">
            <a:extLst>
              <a:ext uri="{BEBA8EAE-BF5A-486C-A8C5-ECC9F3942E4B}">
                <a14:imgProps xmlns:a14="http://schemas.microsoft.com/office/drawing/2010/main">
                  <a14:imgLayer r:embed="rId12">
                    <a14:imgEffect>
                      <a14:backgroundRemoval t="2667" b="95556" l="889" r="96889">
                        <a14:foregroundMark x1="4889" y1="62222" x2="4889" y2="62222"/>
                        <a14:foregroundMark x1="889" y1="66667" x2="889" y2="66667"/>
                        <a14:foregroundMark x1="24444" y1="89778" x2="24444" y2="89778"/>
                        <a14:foregroundMark x1="32444" y1="95556" x2="32444" y2="95556"/>
                        <a14:foregroundMark x1="67556" y1="6667" x2="67556" y2="6667"/>
                        <a14:foregroundMark x1="76000" y1="3111" x2="76000" y2="3111"/>
                        <a14:foregroundMark x1="96889" y1="40889" x2="96889" y2="40889"/>
                      </a14:backgroundRemoval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7259300" y="2876550"/>
            <a:ext cx="547979" cy="54292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21</xdr:col>
      <xdr:colOff>604630</xdr:colOff>
      <xdr:row>15</xdr:row>
      <xdr:rowOff>0</xdr:rowOff>
    </xdr:from>
    <xdr:to>
      <xdr:col>39</xdr:col>
      <xdr:colOff>0</xdr:colOff>
      <xdr:row>43</xdr:row>
      <xdr:rowOff>132521</xdr:rowOff>
    </xdr:to>
    <xdr:grpSp>
      <xdr:nvGrpSpPr>
        <xdr:cNvPr id="64" name="Agrupar 63">
          <a:extLst>
            <a:ext uri="{FF2B5EF4-FFF2-40B4-BE49-F238E27FC236}">
              <a16:creationId xmlns:a16="http://schemas.microsoft.com/office/drawing/2014/main" id="{72DF9F86-7D7D-64BD-A2F7-77B914EDD7E6}"/>
            </a:ext>
          </a:extLst>
        </xdr:cNvPr>
        <xdr:cNvGrpSpPr/>
      </xdr:nvGrpSpPr>
      <xdr:grpSpPr>
        <a:xfrm>
          <a:off x="13312101" y="4213412"/>
          <a:ext cx="10287487" cy="5466521"/>
          <a:chOff x="13475804" y="4207565"/>
          <a:chExt cx="10427805" cy="5466521"/>
        </a:xfrm>
      </xdr:grpSpPr>
      <xdr:grpSp>
        <xdr:nvGrpSpPr>
          <xdr:cNvPr id="58" name="Agrupar 57">
            <a:extLst>
              <a:ext uri="{FF2B5EF4-FFF2-40B4-BE49-F238E27FC236}">
                <a16:creationId xmlns:a16="http://schemas.microsoft.com/office/drawing/2014/main" id="{AC126BEB-99EA-41A0-822B-E63D9B506F8E}"/>
              </a:ext>
            </a:extLst>
          </xdr:cNvPr>
          <xdr:cNvGrpSpPr/>
        </xdr:nvGrpSpPr>
        <xdr:grpSpPr>
          <a:xfrm>
            <a:off x="13475804" y="4207565"/>
            <a:ext cx="10427805" cy="5466521"/>
            <a:chOff x="1830456" y="3060838"/>
            <a:chExt cx="10427805" cy="5466521"/>
          </a:xfrm>
        </xdr:grpSpPr>
        <xdr:sp macro="" textlink="">
          <xdr:nvSpPr>
            <xdr:cNvPr id="61" name="Retângulo: Cantos Arredondados 60">
              <a:extLst>
                <a:ext uri="{FF2B5EF4-FFF2-40B4-BE49-F238E27FC236}">
                  <a16:creationId xmlns:a16="http://schemas.microsoft.com/office/drawing/2014/main" id="{8C56933C-A63A-6D7B-ECF3-F280490F2FCB}"/>
                </a:ext>
              </a:extLst>
            </xdr:cNvPr>
            <xdr:cNvSpPr/>
          </xdr:nvSpPr>
          <xdr:spPr>
            <a:xfrm>
              <a:off x="1830456" y="3325881"/>
              <a:ext cx="10419522" cy="5201478"/>
            </a:xfrm>
            <a:prstGeom prst="roundRect">
              <a:avLst>
                <a:gd name="adj" fmla="val 3952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60" name="Retângulo: Cantos Superiores Arredondados 59">
              <a:extLst>
                <a:ext uri="{FF2B5EF4-FFF2-40B4-BE49-F238E27FC236}">
                  <a16:creationId xmlns:a16="http://schemas.microsoft.com/office/drawing/2014/main" id="{1B7FEAC7-5199-44AC-643A-C5550CCE0612}"/>
                </a:ext>
              </a:extLst>
            </xdr:cNvPr>
            <xdr:cNvSpPr/>
          </xdr:nvSpPr>
          <xdr:spPr>
            <a:xfrm>
              <a:off x="1838739" y="3060838"/>
              <a:ext cx="10419522" cy="571500"/>
            </a:xfrm>
            <a:prstGeom prst="round2SameRect">
              <a:avLst>
                <a:gd name="adj1" fmla="val 25430"/>
                <a:gd name="adj2" fmla="val 0"/>
              </a:avLst>
            </a:prstGeom>
            <a:solidFill>
              <a:srgbClr val="BE000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2400"/>
                <a:t>Quantidade</a:t>
              </a:r>
              <a:r>
                <a:rPr lang="pt-BR" sz="2400" baseline="0"/>
                <a:t> de Vendas por Periodo</a:t>
              </a:r>
              <a:endParaRPr lang="pt-BR" sz="2400"/>
            </a:p>
          </xdr:txBody>
        </xdr:sp>
      </xdr:grpSp>
      <xdr:graphicFrame macro="">
        <xdr:nvGraphicFramePr>
          <xdr:cNvPr id="63" name="Gráfico 62">
            <a:extLst>
              <a:ext uri="{FF2B5EF4-FFF2-40B4-BE49-F238E27FC236}">
                <a16:creationId xmlns:a16="http://schemas.microsoft.com/office/drawing/2014/main" id="{F100BEB0-A2CE-4E31-B1E3-76A17338DF40}"/>
              </a:ext>
            </a:extLst>
          </xdr:cNvPr>
          <xdr:cNvGraphicFramePr>
            <a:graphicFrameLocks/>
          </xdr:cNvGraphicFramePr>
        </xdr:nvGraphicFramePr>
        <xdr:xfrm>
          <a:off x="13792198" y="5160065"/>
          <a:ext cx="9498498" cy="4191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3"/>
          </a:graphicData>
        </a:graphic>
      </xdr:graphicFrame>
    </xdr:grpSp>
    <xdr:clientData/>
  </xdr:twoCellAnchor>
  <xdr:twoCellAnchor>
    <xdr:from>
      <xdr:col>4</xdr:col>
      <xdr:colOff>0</xdr:colOff>
      <xdr:row>45</xdr:row>
      <xdr:rowOff>123825</xdr:rowOff>
    </xdr:from>
    <xdr:to>
      <xdr:col>21</xdr:col>
      <xdr:colOff>4970</xdr:colOff>
      <xdr:row>74</xdr:row>
      <xdr:rowOff>65846</xdr:rowOff>
    </xdr:to>
    <xdr:grpSp>
      <xdr:nvGrpSpPr>
        <xdr:cNvPr id="70" name="Agrupar 69">
          <a:extLst>
            <a:ext uri="{FF2B5EF4-FFF2-40B4-BE49-F238E27FC236}">
              <a16:creationId xmlns:a16="http://schemas.microsoft.com/office/drawing/2014/main" id="{37E4083E-8D60-8F2F-F3E6-865ED0528927}"/>
            </a:ext>
          </a:extLst>
        </xdr:cNvPr>
        <xdr:cNvGrpSpPr/>
      </xdr:nvGrpSpPr>
      <xdr:grpSpPr>
        <a:xfrm>
          <a:off x="2420471" y="10052237"/>
          <a:ext cx="10291970" cy="5466521"/>
          <a:chOff x="2433430" y="9925050"/>
          <a:chExt cx="10368170" cy="5466521"/>
        </a:xfrm>
      </xdr:grpSpPr>
      <xdr:grpSp>
        <xdr:nvGrpSpPr>
          <xdr:cNvPr id="66" name="Agrupar 65">
            <a:extLst>
              <a:ext uri="{FF2B5EF4-FFF2-40B4-BE49-F238E27FC236}">
                <a16:creationId xmlns:a16="http://schemas.microsoft.com/office/drawing/2014/main" id="{C81B0055-BE5F-F629-8902-455F58EB8220}"/>
              </a:ext>
            </a:extLst>
          </xdr:cNvPr>
          <xdr:cNvGrpSpPr/>
        </xdr:nvGrpSpPr>
        <xdr:grpSpPr>
          <a:xfrm>
            <a:off x="2433430" y="9925050"/>
            <a:ext cx="10368170" cy="5466521"/>
            <a:chOff x="1830456" y="3060838"/>
            <a:chExt cx="10427805" cy="5466521"/>
          </a:xfrm>
        </xdr:grpSpPr>
        <xdr:sp macro="" textlink="">
          <xdr:nvSpPr>
            <xdr:cNvPr id="68" name="Retângulo: Cantos Arredondados 67">
              <a:extLst>
                <a:ext uri="{FF2B5EF4-FFF2-40B4-BE49-F238E27FC236}">
                  <a16:creationId xmlns:a16="http://schemas.microsoft.com/office/drawing/2014/main" id="{D8FDAE80-52C3-A235-EEA4-20BF9858FF2E}"/>
                </a:ext>
              </a:extLst>
            </xdr:cNvPr>
            <xdr:cNvSpPr/>
          </xdr:nvSpPr>
          <xdr:spPr>
            <a:xfrm>
              <a:off x="1830456" y="3325881"/>
              <a:ext cx="10419522" cy="5201478"/>
            </a:xfrm>
            <a:prstGeom prst="roundRect">
              <a:avLst>
                <a:gd name="adj" fmla="val 3952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69" name="Retângulo: Cantos Superiores Arredondados 68">
              <a:extLst>
                <a:ext uri="{FF2B5EF4-FFF2-40B4-BE49-F238E27FC236}">
                  <a16:creationId xmlns:a16="http://schemas.microsoft.com/office/drawing/2014/main" id="{95360DD6-F70F-A6B2-A998-66702D6FFBB2}"/>
                </a:ext>
              </a:extLst>
            </xdr:cNvPr>
            <xdr:cNvSpPr/>
          </xdr:nvSpPr>
          <xdr:spPr>
            <a:xfrm>
              <a:off x="1838739" y="3060838"/>
              <a:ext cx="10419522" cy="571500"/>
            </a:xfrm>
            <a:prstGeom prst="round2SameRect">
              <a:avLst>
                <a:gd name="adj1" fmla="val 25430"/>
                <a:gd name="adj2" fmla="val 0"/>
              </a:avLst>
            </a:prstGeom>
            <a:solidFill>
              <a:srgbClr val="BE000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2400"/>
                <a:t>Quantidade</a:t>
              </a:r>
              <a:r>
                <a:rPr lang="pt-BR" sz="2400" baseline="0"/>
                <a:t> de Vendas com Desconto por Categoria</a:t>
              </a:r>
            </a:p>
          </xdr:txBody>
        </xdr:sp>
      </xdr:grpSp>
      <xdr:graphicFrame macro="">
        <xdr:nvGraphicFramePr>
          <xdr:cNvPr id="7" name="Gráfico 6">
            <a:extLst>
              <a:ext uri="{FF2B5EF4-FFF2-40B4-BE49-F238E27FC236}">
                <a16:creationId xmlns:a16="http://schemas.microsoft.com/office/drawing/2014/main" id="{3FA65C4E-623B-42AD-B07D-EA07F65A2D75}"/>
              </a:ext>
            </a:extLst>
          </xdr:cNvPr>
          <xdr:cNvGraphicFramePr>
            <a:graphicFrameLocks/>
          </xdr:cNvGraphicFramePr>
        </xdr:nvGraphicFramePr>
        <xdr:xfrm>
          <a:off x="3048000" y="10467560"/>
          <a:ext cx="9144000" cy="43815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uan Da Silva Terrão" refreshedDate="46020.010907523145" createdVersion="8" refreshedVersion="8" minRefreshableVersion="3" recordCount="100" xr:uid="{BD1A7336-95EC-4A98-A2AF-5D9EFBB240B9}">
  <cacheSource type="worksheet">
    <worksheetSource name="tbl_dados"/>
  </cacheSource>
  <cacheFields count="17">
    <cacheField name="Data_Venda" numFmtId="14">
      <sharedItems containsSemiMixedTypes="0" containsNonDate="0" containsDate="1" containsString="0" minDate="2025-09-29T00:00:00" maxDate="2025-12-26T00:00:00" count="63">
        <d v="2025-11-22T00:00:00"/>
        <d v="2025-10-31T00:00:00"/>
        <d v="2025-09-30T00:00:00"/>
        <d v="2025-09-29T00:00:00"/>
        <d v="2025-10-09T00:00:00"/>
        <d v="2025-11-10T00:00:00"/>
        <d v="2025-10-19T00:00:00"/>
        <d v="2025-11-24T00:00:00"/>
        <d v="2025-10-08T00:00:00"/>
        <d v="2025-11-17T00:00:00"/>
        <d v="2025-12-18T00:00:00"/>
        <d v="2025-11-05T00:00:00"/>
        <d v="2025-10-26T00:00:00"/>
        <d v="2025-10-17T00:00:00"/>
        <d v="2025-11-23T00:00:00"/>
        <d v="2025-11-03T00:00:00"/>
        <d v="2025-11-12T00:00:00"/>
        <d v="2025-11-26T00:00:00"/>
        <d v="2025-12-11T00:00:00"/>
        <d v="2025-10-07T00:00:00"/>
        <d v="2025-11-01T00:00:00"/>
        <d v="2025-11-21T00:00:00"/>
        <d v="2025-12-15T00:00:00"/>
        <d v="2025-11-08T00:00:00"/>
        <d v="2025-12-07T00:00:00"/>
        <d v="2025-11-20T00:00:00"/>
        <d v="2025-11-11T00:00:00"/>
        <d v="2025-10-14T00:00:00"/>
        <d v="2025-12-05T00:00:00"/>
        <d v="2025-11-29T00:00:00"/>
        <d v="2025-10-13T00:00:00"/>
        <d v="2025-11-27T00:00:00"/>
        <d v="2025-11-06T00:00:00"/>
        <d v="2025-12-17T00:00:00"/>
        <d v="2025-10-21T00:00:00"/>
        <d v="2025-11-07T00:00:00"/>
        <d v="2025-10-28T00:00:00"/>
        <d v="2025-10-24T00:00:00"/>
        <d v="2025-10-03T00:00:00"/>
        <d v="2025-12-25T00:00:00"/>
        <d v="2025-12-10T00:00:00"/>
        <d v="2025-11-02T00:00:00"/>
        <d v="2025-10-01T00:00:00"/>
        <d v="2025-10-30T00:00:00"/>
        <d v="2025-12-20T00:00:00"/>
        <d v="2025-10-05T00:00:00"/>
        <d v="2025-12-13T00:00:00"/>
        <d v="2025-10-20T00:00:00"/>
        <d v="2025-12-03T00:00:00"/>
        <d v="2025-10-22T00:00:00"/>
        <d v="2025-11-04T00:00:00"/>
        <d v="2025-10-27T00:00:00"/>
        <d v="2025-12-08T00:00:00"/>
        <d v="2025-11-15T00:00:00"/>
        <d v="2025-12-23T00:00:00"/>
        <d v="2025-10-04T00:00:00"/>
        <d v="2025-10-16T00:00:00"/>
        <d v="2025-11-09T00:00:00"/>
        <d v="2025-12-21T00:00:00"/>
        <d v="2025-12-12T00:00:00"/>
        <d v="2025-12-22T00:00:00"/>
        <d v="2025-12-14T00:00:00"/>
        <d v="2025-10-11T00:00:00"/>
      </sharedItems>
      <fieldGroup par="16"/>
    </cacheField>
    <cacheField name="Produto" numFmtId="0">
      <sharedItems count="17">
        <s v="Mochila Escolar"/>
        <s v="Tênis Corrida"/>
        <s v="Boné Preto"/>
        <s v="Calça Jeans "/>
        <s v="Calça Jeans Azul"/>
        <s v="Mochila Escolar Azul"/>
        <s v="Calça Jeans Escolar"/>
        <s v="Camiseta Azul Corrida"/>
        <s v="Tênis Corrida Escolar"/>
        <s v="Boné Preto Azul"/>
        <s v="Camiseta Azul"/>
        <s v="Boné Preto Corrida"/>
        <s v="Tênis Corrida Azul"/>
        <s v="Boné Preto Escolar"/>
        <s v="Camiseta Azul Escolar"/>
        <s v="Calça Jeans Corrida"/>
        <s v="Mochila Escolar Corrida"/>
      </sharedItems>
    </cacheField>
    <cacheField name="Tamanhos" numFmtId="49">
      <sharedItems/>
    </cacheField>
    <cacheField name="Categoria" numFmtId="49">
      <sharedItems count="3">
        <s v="Acessórios"/>
        <s v="Calçados"/>
        <s v="Roupas"/>
      </sharedItems>
    </cacheField>
    <cacheField name="Região" numFmtId="49">
      <sharedItems/>
    </cacheField>
    <cacheField name="Vendedor" numFmtId="49">
      <sharedItems count="4">
        <s v="Ana"/>
        <s v="C. Oliveira"/>
        <s v="Carlos"/>
        <s v="A. Souza"/>
      </sharedItems>
    </cacheField>
    <cacheField name="Quantidade" numFmtId="1">
      <sharedItems containsSemiMixedTypes="0" containsString="0" containsNumber="1" containsInteger="1" minValue="1" maxValue="3"/>
    </cacheField>
    <cacheField name="Preco_Unitário" numFmtId="0">
      <sharedItems containsSemiMixedTypes="0" containsString="0" containsNumber="1" minValue="49.9" maxValue="200"/>
    </cacheField>
    <cacheField name="Valor_Total" numFmtId="44">
      <sharedItems containsSemiMixedTypes="0" containsString="0" containsNumber="1" minValue="49.9" maxValue="600"/>
    </cacheField>
    <cacheField name="Desconto" numFmtId="10">
      <sharedItems containsSemiMixedTypes="0" containsString="0" containsNumber="1" minValue="0" maxValue="0.1" count="3">
        <n v="0.1"/>
        <n v="0.05"/>
        <n v="0"/>
      </sharedItems>
    </cacheField>
    <cacheField name="Valor_Desconto_Reais" numFmtId="44">
      <sharedItems containsSemiMixedTypes="0" containsString="0" containsNumber="1" minValue="0" maxValue="60"/>
    </cacheField>
    <cacheField name="Valor_Pago" numFmtId="44">
      <sharedItems containsSemiMixedTypes="0" containsString="0" containsNumber="1" minValue="44.91" maxValue="600"/>
    </cacheField>
    <cacheField name="Forma_Pagamento" numFmtId="49">
      <sharedItems count="3">
        <s v="CARTÃO"/>
        <s v="PIX"/>
        <s v="DINHEIRO"/>
      </sharedItems>
    </cacheField>
    <cacheField name="Status_Entrega" numFmtId="49">
      <sharedItems count="4">
        <s v="Entregue"/>
        <s v="Cancelado"/>
        <s v="Pendente"/>
        <s v="Não Informado"/>
      </sharedItems>
    </cacheField>
    <cacheField name="Observações" numFmtId="49">
      <sharedItems/>
    </cacheField>
    <cacheField name="Dias (Data_Venda)" numFmtId="0" databaseField="0">
      <fieldGroup base="0">
        <rangePr groupBy="days" startDate="2025-09-29T00:00:00" endDate="2025-12-26T00:00:00"/>
        <groupItems count="368">
          <s v="&lt;29/09/2025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26/12/2025"/>
        </groupItems>
      </fieldGroup>
    </cacheField>
    <cacheField name="Meses (Data_Venda)" numFmtId="0" databaseField="0">
      <fieldGroup base="0">
        <rangePr groupBy="months" startDate="2025-09-29T00:00:00" endDate="2025-12-26T00:00:00"/>
        <groupItems count="14">
          <s v="&lt;29/09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6/12/2025"/>
        </groupItems>
      </fieldGroup>
    </cacheField>
  </cacheFields>
  <extLst>
    <ext xmlns:x14="http://schemas.microsoft.com/office/spreadsheetml/2009/9/main" uri="{725AE2AE-9491-48be-B2B4-4EB974FC3084}">
      <x14:pivotCacheDefinition pivotCacheId="85247341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s v="M"/>
    <x v="0"/>
    <s v="Sudeste"/>
    <x v="0"/>
    <n v="2"/>
    <n v="200"/>
    <n v="400"/>
    <x v="0"/>
    <n v="40"/>
    <n v="360"/>
    <x v="0"/>
    <x v="0"/>
    <s v="Entrega atrasada"/>
  </r>
  <r>
    <x v="1"/>
    <x v="1"/>
    <s v="Não informado"/>
    <x v="1"/>
    <s v="Sudeste"/>
    <x v="1"/>
    <n v="3"/>
    <n v="120"/>
    <n v="360"/>
    <x v="0"/>
    <n v="36"/>
    <n v="324"/>
    <x v="0"/>
    <x v="1"/>
    <s v="Não Informado"/>
  </r>
  <r>
    <x v="2"/>
    <x v="0"/>
    <s v="Não informado"/>
    <x v="0"/>
    <s v="Sudeste"/>
    <x v="1"/>
    <n v="2"/>
    <n v="49.9"/>
    <n v="99.8"/>
    <x v="1"/>
    <n v="4.99"/>
    <n v="94.81"/>
    <x v="0"/>
    <x v="1"/>
    <s v="Cliente desistiu"/>
  </r>
  <r>
    <x v="3"/>
    <x v="2"/>
    <s v="G"/>
    <x v="0"/>
    <s v="Sudeste"/>
    <x v="2"/>
    <n v="3"/>
    <n v="120"/>
    <n v="360"/>
    <x v="1"/>
    <n v="18"/>
    <n v="342"/>
    <x v="0"/>
    <x v="0"/>
    <s v="Não Informado"/>
  </r>
  <r>
    <x v="4"/>
    <x v="3"/>
    <s v="G"/>
    <x v="2"/>
    <s v="Sul"/>
    <x v="3"/>
    <n v="3"/>
    <n v="49.9"/>
    <n v="149.69999999999999"/>
    <x v="1"/>
    <n v="7.4850000000000003"/>
    <n v="142.215"/>
    <x v="1"/>
    <x v="0"/>
    <s v="Cliente desistiu"/>
  </r>
  <r>
    <x v="5"/>
    <x v="4"/>
    <s v="Não informado"/>
    <x v="2"/>
    <s v="Sul"/>
    <x v="2"/>
    <n v="3"/>
    <n v="49.9"/>
    <n v="149.69999999999999"/>
    <x v="2"/>
    <n v="0"/>
    <n v="149.69999999999999"/>
    <x v="1"/>
    <x v="2"/>
    <s v="Cliente pediu embalagem"/>
  </r>
  <r>
    <x v="6"/>
    <x v="0"/>
    <s v="M"/>
    <x v="0"/>
    <s v="Sul"/>
    <x v="2"/>
    <n v="2"/>
    <n v="120"/>
    <n v="240"/>
    <x v="1"/>
    <n v="12"/>
    <n v="228"/>
    <x v="0"/>
    <x v="3"/>
    <s v="Cliente desistiu"/>
  </r>
  <r>
    <x v="7"/>
    <x v="2"/>
    <s v="Não informado"/>
    <x v="0"/>
    <s v="Sul"/>
    <x v="2"/>
    <n v="2"/>
    <n v="49.9"/>
    <n v="99.8"/>
    <x v="0"/>
    <n v="9.98"/>
    <n v="89.82"/>
    <x v="0"/>
    <x v="0"/>
    <s v="Não Informado"/>
  </r>
  <r>
    <x v="8"/>
    <x v="2"/>
    <s v="Não informado"/>
    <x v="0"/>
    <s v="Sudeste"/>
    <x v="0"/>
    <n v="3"/>
    <n v="199.99"/>
    <n v="599.97"/>
    <x v="1"/>
    <n v="29.9985"/>
    <n v="569.97149999999999"/>
    <x v="1"/>
    <x v="2"/>
    <s v="Cliente pediu embalagem"/>
  </r>
  <r>
    <x v="9"/>
    <x v="5"/>
    <s v="Não informado"/>
    <x v="0"/>
    <s v="Sudeste"/>
    <x v="0"/>
    <n v="2"/>
    <n v="199.99"/>
    <n v="399.98"/>
    <x v="0"/>
    <n v="39.997999999999998"/>
    <n v="359.98200000000003"/>
    <x v="2"/>
    <x v="0"/>
    <s v="Não Informado"/>
  </r>
  <r>
    <x v="10"/>
    <x v="2"/>
    <s v="P"/>
    <x v="0"/>
    <s v="Sul"/>
    <x v="1"/>
    <n v="3"/>
    <n v="120"/>
    <n v="360"/>
    <x v="0"/>
    <n v="36"/>
    <n v="324"/>
    <x v="0"/>
    <x v="0"/>
    <s v="Cliente desistiu"/>
  </r>
  <r>
    <x v="11"/>
    <x v="6"/>
    <s v="Não informado"/>
    <x v="2"/>
    <s v="Sudeste"/>
    <x v="2"/>
    <n v="3"/>
    <n v="49.9"/>
    <n v="149.69999999999999"/>
    <x v="2"/>
    <n v="0"/>
    <n v="149.69999999999999"/>
    <x v="1"/>
    <x v="3"/>
    <s v="Não Informado"/>
  </r>
  <r>
    <x v="12"/>
    <x v="1"/>
    <s v="Não informado"/>
    <x v="1"/>
    <s v="Sudeste"/>
    <x v="0"/>
    <n v="2"/>
    <n v="200"/>
    <n v="400"/>
    <x v="0"/>
    <n v="40"/>
    <n v="360"/>
    <x v="0"/>
    <x v="0"/>
    <s v="Cliente pediu embalagem"/>
  </r>
  <r>
    <x v="13"/>
    <x v="2"/>
    <s v="M"/>
    <x v="0"/>
    <s v="Sul"/>
    <x v="2"/>
    <n v="2"/>
    <n v="49.9"/>
    <n v="99.8"/>
    <x v="0"/>
    <n v="9.98"/>
    <n v="89.82"/>
    <x v="0"/>
    <x v="0"/>
    <s v="Cliente desistiu"/>
  </r>
  <r>
    <x v="14"/>
    <x v="2"/>
    <s v="M"/>
    <x v="0"/>
    <s v="Não Informado"/>
    <x v="0"/>
    <n v="3"/>
    <n v="199.99"/>
    <n v="599.97"/>
    <x v="0"/>
    <n v="59.997"/>
    <n v="539.97299999999996"/>
    <x v="0"/>
    <x v="0"/>
    <s v="Não Informado"/>
  </r>
  <r>
    <x v="15"/>
    <x v="7"/>
    <s v="Não informado"/>
    <x v="2"/>
    <s v="Sul"/>
    <x v="2"/>
    <n v="1"/>
    <n v="49.9"/>
    <n v="49.9"/>
    <x v="0"/>
    <n v="4.99"/>
    <n v="44.91"/>
    <x v="0"/>
    <x v="3"/>
    <s v="Não Informado"/>
  </r>
  <r>
    <x v="16"/>
    <x v="8"/>
    <s v="Não informado"/>
    <x v="1"/>
    <s v="Sudeste"/>
    <x v="0"/>
    <n v="2"/>
    <n v="199.99"/>
    <n v="399.98"/>
    <x v="0"/>
    <n v="39.997999999999998"/>
    <n v="359.98200000000003"/>
    <x v="0"/>
    <x v="0"/>
    <s v="Entrega atrasada"/>
  </r>
  <r>
    <x v="9"/>
    <x v="3"/>
    <s v="P"/>
    <x v="2"/>
    <s v="Não Informado"/>
    <x v="1"/>
    <n v="2"/>
    <n v="49.9"/>
    <n v="99.8"/>
    <x v="1"/>
    <n v="4.99"/>
    <n v="94.81"/>
    <x v="1"/>
    <x v="3"/>
    <s v="Não Informado"/>
  </r>
  <r>
    <x v="17"/>
    <x v="0"/>
    <s v="M"/>
    <x v="0"/>
    <s v="Sudeste"/>
    <x v="1"/>
    <n v="3"/>
    <n v="200"/>
    <n v="600"/>
    <x v="0"/>
    <n v="60"/>
    <n v="540"/>
    <x v="0"/>
    <x v="3"/>
    <s v="Não Informado"/>
  </r>
  <r>
    <x v="18"/>
    <x v="2"/>
    <s v="P"/>
    <x v="0"/>
    <s v="Sudeste"/>
    <x v="2"/>
    <n v="2"/>
    <n v="49.9"/>
    <n v="99.8"/>
    <x v="0"/>
    <n v="9.98"/>
    <n v="89.82"/>
    <x v="1"/>
    <x v="3"/>
    <s v="Entrega atrasada"/>
  </r>
  <r>
    <x v="19"/>
    <x v="9"/>
    <s v="Não informado"/>
    <x v="0"/>
    <s v="Sul"/>
    <x v="1"/>
    <n v="3"/>
    <n v="120"/>
    <n v="360"/>
    <x v="0"/>
    <n v="36"/>
    <n v="324"/>
    <x v="1"/>
    <x v="2"/>
    <s v="Não Informado"/>
  </r>
  <r>
    <x v="20"/>
    <x v="10"/>
    <s v="Não informado"/>
    <x v="2"/>
    <s v="Sudeste"/>
    <x v="1"/>
    <n v="3"/>
    <n v="49.9"/>
    <n v="149.69999999999999"/>
    <x v="0"/>
    <n v="14.97"/>
    <n v="134.72999999999999"/>
    <x v="0"/>
    <x v="0"/>
    <s v="Entrega atrasada"/>
  </r>
  <r>
    <x v="21"/>
    <x v="11"/>
    <s v="Não informado"/>
    <x v="0"/>
    <s v="Sudeste"/>
    <x v="0"/>
    <n v="3"/>
    <n v="200"/>
    <n v="600"/>
    <x v="1"/>
    <n v="30"/>
    <n v="570"/>
    <x v="1"/>
    <x v="0"/>
    <s v="Entrega atrasada"/>
  </r>
  <r>
    <x v="19"/>
    <x v="7"/>
    <s v="Não informado"/>
    <x v="2"/>
    <s v="Sudeste"/>
    <x v="1"/>
    <n v="2"/>
    <n v="120"/>
    <n v="240"/>
    <x v="1"/>
    <n v="12"/>
    <n v="228"/>
    <x v="0"/>
    <x v="2"/>
    <s v="Cliente desistiu"/>
  </r>
  <r>
    <x v="22"/>
    <x v="10"/>
    <s v="Não informado"/>
    <x v="2"/>
    <s v="Sul"/>
    <x v="2"/>
    <n v="2"/>
    <n v="120"/>
    <n v="240"/>
    <x v="0"/>
    <n v="24"/>
    <n v="216"/>
    <x v="1"/>
    <x v="1"/>
    <s v="Cliente desistiu"/>
  </r>
  <r>
    <x v="23"/>
    <x v="12"/>
    <s v="Não informado"/>
    <x v="1"/>
    <s v="Não Informado"/>
    <x v="2"/>
    <n v="3"/>
    <n v="199.99"/>
    <n v="599.97"/>
    <x v="0"/>
    <n v="59.997"/>
    <n v="539.97299999999996"/>
    <x v="0"/>
    <x v="2"/>
    <s v="Cliente pediu embalagem"/>
  </r>
  <r>
    <x v="4"/>
    <x v="10"/>
    <s v="G"/>
    <x v="2"/>
    <s v="Sul"/>
    <x v="2"/>
    <n v="3"/>
    <n v="120"/>
    <n v="360"/>
    <x v="2"/>
    <n v="0"/>
    <n v="360"/>
    <x v="0"/>
    <x v="0"/>
    <s v="Entrega atrasada"/>
  </r>
  <r>
    <x v="24"/>
    <x v="1"/>
    <s v="G"/>
    <x v="1"/>
    <s v="Sul"/>
    <x v="2"/>
    <n v="1"/>
    <n v="120"/>
    <n v="120"/>
    <x v="0"/>
    <n v="12"/>
    <n v="108"/>
    <x v="1"/>
    <x v="2"/>
    <s v="Entrega atrasada"/>
  </r>
  <r>
    <x v="25"/>
    <x v="12"/>
    <s v="Não informado"/>
    <x v="1"/>
    <s v="Sudeste"/>
    <x v="0"/>
    <n v="3"/>
    <n v="49.9"/>
    <n v="149.69999999999999"/>
    <x v="1"/>
    <n v="7.4850000000000003"/>
    <n v="142.215"/>
    <x v="1"/>
    <x v="3"/>
    <s v="Não Informado"/>
  </r>
  <r>
    <x v="22"/>
    <x v="0"/>
    <s v="M"/>
    <x v="0"/>
    <s v="Sul"/>
    <x v="3"/>
    <n v="3"/>
    <n v="49.9"/>
    <n v="149.69999999999999"/>
    <x v="2"/>
    <n v="0"/>
    <n v="149.69999999999999"/>
    <x v="1"/>
    <x v="3"/>
    <s v="Cliente desistiu"/>
  </r>
  <r>
    <x v="26"/>
    <x v="0"/>
    <s v="Não informado"/>
    <x v="0"/>
    <s v="Sul"/>
    <x v="0"/>
    <n v="2"/>
    <n v="49.9"/>
    <n v="99.8"/>
    <x v="1"/>
    <n v="4.99"/>
    <n v="94.81"/>
    <x v="0"/>
    <x v="2"/>
    <s v="Cliente desistiu"/>
  </r>
  <r>
    <x v="27"/>
    <x v="5"/>
    <s v="Não informado"/>
    <x v="0"/>
    <s v="Sudeste"/>
    <x v="2"/>
    <n v="2"/>
    <n v="120"/>
    <n v="240"/>
    <x v="2"/>
    <n v="0"/>
    <n v="240"/>
    <x v="0"/>
    <x v="1"/>
    <s v="Não Informado"/>
  </r>
  <r>
    <x v="28"/>
    <x v="13"/>
    <s v="Não informado"/>
    <x v="0"/>
    <s v="Sudeste"/>
    <x v="0"/>
    <n v="3"/>
    <n v="120"/>
    <n v="360"/>
    <x v="2"/>
    <n v="0"/>
    <n v="360"/>
    <x v="1"/>
    <x v="1"/>
    <s v="Não Informado"/>
  </r>
  <r>
    <x v="23"/>
    <x v="1"/>
    <s v="Não informado"/>
    <x v="1"/>
    <s v="Sul"/>
    <x v="2"/>
    <n v="3"/>
    <n v="199.99"/>
    <n v="599.97"/>
    <x v="0"/>
    <n v="59.997"/>
    <n v="539.97299999999996"/>
    <x v="1"/>
    <x v="0"/>
    <s v="Entrega atrasada"/>
  </r>
  <r>
    <x v="29"/>
    <x v="4"/>
    <s v="Não informado"/>
    <x v="2"/>
    <s v="Sudeste"/>
    <x v="3"/>
    <n v="1"/>
    <n v="120"/>
    <n v="120"/>
    <x v="2"/>
    <n v="0"/>
    <n v="120"/>
    <x v="1"/>
    <x v="1"/>
    <s v="Entrega atrasada"/>
  </r>
  <r>
    <x v="4"/>
    <x v="14"/>
    <s v="Não informado"/>
    <x v="2"/>
    <s v="Sul"/>
    <x v="0"/>
    <n v="2"/>
    <n v="49.9"/>
    <n v="99.8"/>
    <x v="0"/>
    <n v="9.98"/>
    <n v="89.82"/>
    <x v="0"/>
    <x v="1"/>
    <s v="Entrega atrasada"/>
  </r>
  <r>
    <x v="21"/>
    <x v="2"/>
    <s v="G"/>
    <x v="0"/>
    <s v="Sudeste"/>
    <x v="0"/>
    <n v="2"/>
    <n v="199.99"/>
    <n v="399.98"/>
    <x v="1"/>
    <n v="19.998999999999999"/>
    <n v="379.98099999999999"/>
    <x v="0"/>
    <x v="1"/>
    <s v="Não Informado"/>
  </r>
  <r>
    <x v="8"/>
    <x v="0"/>
    <s v="Não informado"/>
    <x v="0"/>
    <s v="Não Informado"/>
    <x v="2"/>
    <n v="3"/>
    <n v="120"/>
    <n v="360"/>
    <x v="0"/>
    <n v="36"/>
    <n v="324"/>
    <x v="1"/>
    <x v="2"/>
    <s v="Não Informado"/>
  </r>
  <r>
    <x v="30"/>
    <x v="1"/>
    <s v="M"/>
    <x v="1"/>
    <s v="Não Informado"/>
    <x v="0"/>
    <n v="2"/>
    <n v="200"/>
    <n v="400"/>
    <x v="2"/>
    <n v="0"/>
    <n v="400"/>
    <x v="1"/>
    <x v="1"/>
    <s v="Não Informado"/>
  </r>
  <r>
    <x v="20"/>
    <x v="11"/>
    <s v="Não informado"/>
    <x v="0"/>
    <s v="Sul"/>
    <x v="1"/>
    <n v="3"/>
    <n v="120"/>
    <n v="360"/>
    <x v="2"/>
    <n v="0"/>
    <n v="360"/>
    <x v="1"/>
    <x v="3"/>
    <s v="Não Informado"/>
  </r>
  <r>
    <x v="22"/>
    <x v="3"/>
    <s v="P"/>
    <x v="2"/>
    <s v="Não Informado"/>
    <x v="2"/>
    <n v="3"/>
    <n v="200"/>
    <n v="600"/>
    <x v="2"/>
    <n v="0"/>
    <n v="600"/>
    <x v="2"/>
    <x v="0"/>
    <s v="Não Informado"/>
  </r>
  <r>
    <x v="31"/>
    <x v="3"/>
    <s v="M"/>
    <x v="2"/>
    <s v="Não Informado"/>
    <x v="1"/>
    <n v="2"/>
    <n v="49.9"/>
    <n v="99.8"/>
    <x v="2"/>
    <n v="0"/>
    <n v="99.8"/>
    <x v="0"/>
    <x v="2"/>
    <s v="Não Informado"/>
  </r>
  <r>
    <x v="32"/>
    <x v="3"/>
    <s v="G"/>
    <x v="2"/>
    <s v="Sul"/>
    <x v="2"/>
    <n v="1"/>
    <n v="120"/>
    <n v="120"/>
    <x v="1"/>
    <n v="6"/>
    <n v="114"/>
    <x v="0"/>
    <x v="0"/>
    <s v="Cliente pediu embalagem"/>
  </r>
  <r>
    <x v="33"/>
    <x v="10"/>
    <s v="Não informado"/>
    <x v="2"/>
    <s v="Sudeste"/>
    <x v="2"/>
    <n v="2"/>
    <n v="49.9"/>
    <n v="99.8"/>
    <x v="1"/>
    <n v="4.99"/>
    <n v="94.81"/>
    <x v="1"/>
    <x v="2"/>
    <s v="Não Informado"/>
  </r>
  <r>
    <x v="4"/>
    <x v="14"/>
    <s v="Não informado"/>
    <x v="2"/>
    <s v="Sul"/>
    <x v="0"/>
    <n v="2"/>
    <n v="120"/>
    <n v="240"/>
    <x v="2"/>
    <n v="0"/>
    <n v="240"/>
    <x v="1"/>
    <x v="0"/>
    <s v="Cliente pediu embalagem"/>
  </r>
  <r>
    <x v="20"/>
    <x v="0"/>
    <s v="Não informado"/>
    <x v="0"/>
    <s v="Sul"/>
    <x v="0"/>
    <n v="3"/>
    <n v="49.9"/>
    <n v="149.69999999999999"/>
    <x v="1"/>
    <n v="7.4850000000000003"/>
    <n v="142.215"/>
    <x v="1"/>
    <x v="2"/>
    <s v="Cliente pediu embalagem"/>
  </r>
  <r>
    <x v="13"/>
    <x v="6"/>
    <s v="Não informado"/>
    <x v="2"/>
    <s v="Sudeste"/>
    <x v="2"/>
    <n v="1"/>
    <n v="120"/>
    <n v="120"/>
    <x v="0"/>
    <n v="12"/>
    <n v="108"/>
    <x v="1"/>
    <x v="3"/>
    <s v="Não Informado"/>
  </r>
  <r>
    <x v="34"/>
    <x v="4"/>
    <s v="Não informado"/>
    <x v="2"/>
    <s v="Sul"/>
    <x v="1"/>
    <n v="3"/>
    <n v="120"/>
    <n v="360"/>
    <x v="0"/>
    <n v="36"/>
    <n v="324"/>
    <x v="1"/>
    <x v="1"/>
    <s v="Cliente desistiu"/>
  </r>
  <r>
    <x v="26"/>
    <x v="0"/>
    <s v="M"/>
    <x v="0"/>
    <s v="Sul"/>
    <x v="0"/>
    <n v="2"/>
    <n v="120"/>
    <n v="240"/>
    <x v="2"/>
    <n v="0"/>
    <n v="240"/>
    <x v="1"/>
    <x v="0"/>
    <s v="Cliente desistiu"/>
  </r>
  <r>
    <x v="35"/>
    <x v="4"/>
    <s v="Não informado"/>
    <x v="2"/>
    <s v="Não Informado"/>
    <x v="2"/>
    <n v="2"/>
    <n v="200"/>
    <n v="400"/>
    <x v="0"/>
    <n v="40"/>
    <n v="360"/>
    <x v="0"/>
    <x v="0"/>
    <s v="Não Informado"/>
  </r>
  <r>
    <x v="36"/>
    <x v="4"/>
    <s v="Não informado"/>
    <x v="2"/>
    <s v="Sul"/>
    <x v="3"/>
    <n v="3"/>
    <n v="120"/>
    <n v="360"/>
    <x v="0"/>
    <n v="36"/>
    <n v="324"/>
    <x v="1"/>
    <x v="2"/>
    <s v="Não Informado"/>
  </r>
  <r>
    <x v="18"/>
    <x v="1"/>
    <s v="G"/>
    <x v="1"/>
    <s v="Sul"/>
    <x v="3"/>
    <n v="3"/>
    <n v="200"/>
    <n v="600"/>
    <x v="0"/>
    <n v="60"/>
    <n v="540"/>
    <x v="1"/>
    <x v="3"/>
    <s v="Cliente desistiu"/>
  </r>
  <r>
    <x v="2"/>
    <x v="0"/>
    <s v="M"/>
    <x v="0"/>
    <s v="Sul"/>
    <x v="2"/>
    <n v="2"/>
    <n v="120"/>
    <n v="240"/>
    <x v="2"/>
    <n v="0"/>
    <n v="240"/>
    <x v="0"/>
    <x v="2"/>
    <s v="Não Informado"/>
  </r>
  <r>
    <x v="37"/>
    <x v="14"/>
    <s v="Não informado"/>
    <x v="2"/>
    <s v="Não Informado"/>
    <x v="1"/>
    <n v="3"/>
    <n v="120"/>
    <n v="360"/>
    <x v="0"/>
    <n v="36"/>
    <n v="324"/>
    <x v="0"/>
    <x v="2"/>
    <s v="Não Informado"/>
  </r>
  <r>
    <x v="27"/>
    <x v="10"/>
    <s v="Não informado"/>
    <x v="2"/>
    <s v="Sul"/>
    <x v="2"/>
    <n v="1"/>
    <n v="49.9"/>
    <n v="49.9"/>
    <x v="2"/>
    <n v="0"/>
    <n v="49.9"/>
    <x v="0"/>
    <x v="1"/>
    <s v="Cliente desistiu"/>
  </r>
  <r>
    <x v="38"/>
    <x v="3"/>
    <s v="G"/>
    <x v="2"/>
    <s v="Sudeste"/>
    <x v="3"/>
    <n v="3"/>
    <n v="120"/>
    <n v="360"/>
    <x v="0"/>
    <n v="36"/>
    <n v="324"/>
    <x v="0"/>
    <x v="0"/>
    <s v="Não Informado"/>
  </r>
  <r>
    <x v="13"/>
    <x v="12"/>
    <s v="Não informado"/>
    <x v="1"/>
    <s v="Sudeste"/>
    <x v="0"/>
    <n v="2"/>
    <n v="49.9"/>
    <n v="99.8"/>
    <x v="0"/>
    <n v="9.98"/>
    <n v="89.82"/>
    <x v="1"/>
    <x v="0"/>
    <s v="Entrega atrasada"/>
  </r>
  <r>
    <x v="39"/>
    <x v="3"/>
    <s v="P"/>
    <x v="2"/>
    <s v="Não Informado"/>
    <x v="2"/>
    <n v="2"/>
    <n v="120"/>
    <n v="240"/>
    <x v="0"/>
    <n v="24"/>
    <n v="216"/>
    <x v="2"/>
    <x v="0"/>
    <s v="Não Informado"/>
  </r>
  <r>
    <x v="40"/>
    <x v="8"/>
    <s v="Não informado"/>
    <x v="1"/>
    <s v="Não Informado"/>
    <x v="2"/>
    <n v="3"/>
    <n v="200"/>
    <n v="600"/>
    <x v="1"/>
    <n v="30"/>
    <n v="570"/>
    <x v="1"/>
    <x v="2"/>
    <s v="Não Informado"/>
  </r>
  <r>
    <x v="41"/>
    <x v="4"/>
    <s v="Não informado"/>
    <x v="2"/>
    <s v="Sudeste"/>
    <x v="1"/>
    <n v="3"/>
    <n v="49.9"/>
    <n v="149.69999999999999"/>
    <x v="0"/>
    <n v="14.97"/>
    <n v="134.72999999999999"/>
    <x v="0"/>
    <x v="0"/>
    <s v="Não Informado"/>
  </r>
  <r>
    <x v="42"/>
    <x v="5"/>
    <s v="Não informado"/>
    <x v="0"/>
    <s v="Sul"/>
    <x v="2"/>
    <n v="2"/>
    <n v="120"/>
    <n v="240"/>
    <x v="2"/>
    <n v="0"/>
    <n v="240"/>
    <x v="2"/>
    <x v="1"/>
    <s v="Cliente pediu embalagem"/>
  </r>
  <r>
    <x v="43"/>
    <x v="14"/>
    <s v="Não informado"/>
    <x v="2"/>
    <s v="Sudeste"/>
    <x v="0"/>
    <n v="3"/>
    <n v="120"/>
    <n v="360"/>
    <x v="0"/>
    <n v="36"/>
    <n v="324"/>
    <x v="2"/>
    <x v="1"/>
    <s v="Cliente pediu embalagem"/>
  </r>
  <r>
    <x v="44"/>
    <x v="6"/>
    <s v="Não informado"/>
    <x v="2"/>
    <s v="Não Informado"/>
    <x v="2"/>
    <n v="1"/>
    <n v="200"/>
    <n v="200"/>
    <x v="2"/>
    <n v="0"/>
    <n v="200"/>
    <x v="0"/>
    <x v="2"/>
    <s v="Cliente desistiu"/>
  </r>
  <r>
    <x v="45"/>
    <x v="1"/>
    <s v="G"/>
    <x v="1"/>
    <s v="Sul"/>
    <x v="2"/>
    <n v="2"/>
    <n v="120"/>
    <n v="240"/>
    <x v="0"/>
    <n v="24"/>
    <n v="216"/>
    <x v="2"/>
    <x v="0"/>
    <s v="Não Informado"/>
  </r>
  <r>
    <x v="46"/>
    <x v="10"/>
    <s v="Não informado"/>
    <x v="2"/>
    <s v="Não Informado"/>
    <x v="0"/>
    <n v="2"/>
    <n v="120"/>
    <n v="240"/>
    <x v="0"/>
    <n v="24"/>
    <n v="216"/>
    <x v="1"/>
    <x v="1"/>
    <s v="Cliente desistiu"/>
  </r>
  <r>
    <x v="47"/>
    <x v="11"/>
    <s v="Não informado"/>
    <x v="0"/>
    <s v="Sudeste"/>
    <x v="1"/>
    <n v="1"/>
    <n v="120"/>
    <n v="120"/>
    <x v="0"/>
    <n v="12"/>
    <n v="108"/>
    <x v="0"/>
    <x v="2"/>
    <s v="Cliente desistiu"/>
  </r>
  <r>
    <x v="48"/>
    <x v="3"/>
    <s v="G"/>
    <x v="2"/>
    <s v="Sul"/>
    <x v="2"/>
    <n v="3"/>
    <n v="199.99"/>
    <n v="599.97"/>
    <x v="2"/>
    <n v="0"/>
    <n v="599.97"/>
    <x v="0"/>
    <x v="1"/>
    <s v="Entrega atrasada"/>
  </r>
  <r>
    <x v="45"/>
    <x v="15"/>
    <s v="Não informado"/>
    <x v="2"/>
    <s v="Sul"/>
    <x v="2"/>
    <n v="2"/>
    <n v="120"/>
    <n v="240"/>
    <x v="2"/>
    <n v="0"/>
    <n v="240"/>
    <x v="2"/>
    <x v="2"/>
    <s v="Cliente pediu embalagem"/>
  </r>
  <r>
    <x v="49"/>
    <x v="3"/>
    <s v="P"/>
    <x v="2"/>
    <s v="Não Informado"/>
    <x v="1"/>
    <n v="2"/>
    <n v="120"/>
    <n v="240"/>
    <x v="2"/>
    <n v="0"/>
    <n v="240"/>
    <x v="1"/>
    <x v="1"/>
    <s v="Não Informado"/>
  </r>
  <r>
    <x v="50"/>
    <x v="2"/>
    <s v="Não informado"/>
    <x v="0"/>
    <s v="Sul"/>
    <x v="3"/>
    <n v="2"/>
    <n v="199.99"/>
    <n v="399.98"/>
    <x v="0"/>
    <n v="39.997999999999998"/>
    <n v="359.98200000000003"/>
    <x v="1"/>
    <x v="0"/>
    <s v="Não Informado"/>
  </r>
  <r>
    <x v="51"/>
    <x v="10"/>
    <s v="Não informado"/>
    <x v="2"/>
    <s v="Sul"/>
    <x v="1"/>
    <n v="3"/>
    <n v="49.9"/>
    <n v="149.69999999999999"/>
    <x v="0"/>
    <n v="14.97"/>
    <n v="134.72999999999999"/>
    <x v="1"/>
    <x v="1"/>
    <s v="Entrega atrasada"/>
  </r>
  <r>
    <x v="23"/>
    <x v="1"/>
    <s v="M"/>
    <x v="1"/>
    <s v="Não Informado"/>
    <x v="0"/>
    <n v="1"/>
    <n v="199.99"/>
    <n v="199.99"/>
    <x v="0"/>
    <n v="19.998999999999999"/>
    <n v="179.99100000000001"/>
    <x v="0"/>
    <x v="1"/>
    <s v="Não Informado"/>
  </r>
  <r>
    <x v="52"/>
    <x v="3"/>
    <s v="G"/>
    <x v="2"/>
    <s v="Sul"/>
    <x v="0"/>
    <n v="3"/>
    <n v="49.9"/>
    <n v="149.69999999999999"/>
    <x v="1"/>
    <n v="7.4850000000000003"/>
    <n v="142.215"/>
    <x v="1"/>
    <x v="1"/>
    <s v="Não Informado"/>
  </r>
  <r>
    <x v="53"/>
    <x v="6"/>
    <s v="Não informado"/>
    <x v="2"/>
    <s v="Sudeste"/>
    <x v="1"/>
    <n v="1"/>
    <n v="49.9"/>
    <n v="49.9"/>
    <x v="0"/>
    <n v="4.99"/>
    <n v="44.91"/>
    <x v="1"/>
    <x v="1"/>
    <s v="Não Informado"/>
  </r>
  <r>
    <x v="6"/>
    <x v="10"/>
    <s v="Não informado"/>
    <x v="2"/>
    <s v="Sul"/>
    <x v="3"/>
    <n v="2"/>
    <n v="120"/>
    <n v="240"/>
    <x v="2"/>
    <n v="0"/>
    <n v="240"/>
    <x v="0"/>
    <x v="2"/>
    <s v="Não Informado"/>
  </r>
  <r>
    <x v="7"/>
    <x v="10"/>
    <s v="G"/>
    <x v="2"/>
    <s v="Sudeste"/>
    <x v="2"/>
    <n v="2"/>
    <n v="49.9"/>
    <n v="99.8"/>
    <x v="0"/>
    <n v="9.98"/>
    <n v="89.82"/>
    <x v="0"/>
    <x v="2"/>
    <s v="Não Informado"/>
  </r>
  <r>
    <x v="30"/>
    <x v="8"/>
    <s v="Não informado"/>
    <x v="1"/>
    <s v="Sul"/>
    <x v="1"/>
    <n v="3"/>
    <n v="199.99"/>
    <n v="599.97"/>
    <x v="0"/>
    <n v="59.997"/>
    <n v="539.97299999999996"/>
    <x v="1"/>
    <x v="2"/>
    <s v="Cliente pediu embalagem"/>
  </r>
  <r>
    <x v="43"/>
    <x v="8"/>
    <s v="Não informado"/>
    <x v="1"/>
    <s v="Não Informado"/>
    <x v="2"/>
    <n v="2"/>
    <n v="199.99"/>
    <n v="399.98"/>
    <x v="2"/>
    <n v="0"/>
    <n v="399.98"/>
    <x v="1"/>
    <x v="0"/>
    <s v="Não Informado"/>
  </r>
  <r>
    <x v="54"/>
    <x v="2"/>
    <s v="Não informado"/>
    <x v="0"/>
    <s v="Sul"/>
    <x v="0"/>
    <n v="3"/>
    <n v="49.9"/>
    <n v="149.69999999999999"/>
    <x v="0"/>
    <n v="14.97"/>
    <n v="134.72999999999999"/>
    <x v="2"/>
    <x v="3"/>
    <s v="Entrega atrasada"/>
  </r>
  <r>
    <x v="55"/>
    <x v="16"/>
    <s v="Não informado"/>
    <x v="0"/>
    <s v="Sul"/>
    <x v="0"/>
    <n v="1"/>
    <n v="49.9"/>
    <n v="49.9"/>
    <x v="0"/>
    <n v="4.99"/>
    <n v="44.91"/>
    <x v="0"/>
    <x v="0"/>
    <s v="Cliente desistiu"/>
  </r>
  <r>
    <x v="56"/>
    <x v="2"/>
    <s v="Não informado"/>
    <x v="0"/>
    <s v="Sudeste"/>
    <x v="0"/>
    <n v="2"/>
    <n v="120"/>
    <n v="240"/>
    <x v="0"/>
    <n v="24"/>
    <n v="216"/>
    <x v="1"/>
    <x v="2"/>
    <s v="Entrega atrasada"/>
  </r>
  <r>
    <x v="57"/>
    <x v="0"/>
    <s v="Não informado"/>
    <x v="0"/>
    <s v="Não Informado"/>
    <x v="1"/>
    <n v="3"/>
    <n v="199.99"/>
    <n v="599.97"/>
    <x v="0"/>
    <n v="59.997"/>
    <n v="539.97299999999996"/>
    <x v="0"/>
    <x v="1"/>
    <s v="Cliente pediu embalagem"/>
  </r>
  <r>
    <x v="33"/>
    <x v="10"/>
    <s v="Não informado"/>
    <x v="2"/>
    <s v="Sul"/>
    <x v="0"/>
    <n v="3"/>
    <n v="49.9"/>
    <n v="149.69999999999999"/>
    <x v="2"/>
    <n v="0"/>
    <n v="149.69999999999999"/>
    <x v="0"/>
    <x v="0"/>
    <s v="Entrega atrasada"/>
  </r>
  <r>
    <x v="58"/>
    <x v="2"/>
    <s v="P"/>
    <x v="0"/>
    <s v="Sul"/>
    <x v="2"/>
    <n v="2"/>
    <n v="49.9"/>
    <n v="99.8"/>
    <x v="0"/>
    <n v="9.98"/>
    <n v="89.82"/>
    <x v="0"/>
    <x v="0"/>
    <s v="Não Informado"/>
  </r>
  <r>
    <x v="30"/>
    <x v="0"/>
    <s v="Não informado"/>
    <x v="0"/>
    <s v="Não Informado"/>
    <x v="0"/>
    <n v="2"/>
    <n v="199.99"/>
    <n v="399.98"/>
    <x v="2"/>
    <n v="0"/>
    <n v="399.98"/>
    <x v="1"/>
    <x v="3"/>
    <s v="Cliente pediu embalagem"/>
  </r>
  <r>
    <x v="17"/>
    <x v="7"/>
    <s v="Não informado"/>
    <x v="2"/>
    <s v="Sul"/>
    <x v="0"/>
    <n v="3"/>
    <n v="120"/>
    <n v="360"/>
    <x v="2"/>
    <n v="0"/>
    <n v="360"/>
    <x v="1"/>
    <x v="0"/>
    <s v="Não Informado"/>
  </r>
  <r>
    <x v="59"/>
    <x v="10"/>
    <s v="G"/>
    <x v="2"/>
    <s v="Sudeste"/>
    <x v="3"/>
    <n v="2"/>
    <n v="49.9"/>
    <n v="99.8"/>
    <x v="2"/>
    <n v="0"/>
    <n v="99.8"/>
    <x v="2"/>
    <x v="2"/>
    <s v="Não Informado"/>
  </r>
  <r>
    <x v="9"/>
    <x v="14"/>
    <s v="Não informado"/>
    <x v="2"/>
    <s v="Não Informado"/>
    <x v="0"/>
    <n v="1"/>
    <n v="200"/>
    <n v="200"/>
    <x v="2"/>
    <n v="0"/>
    <n v="200"/>
    <x v="0"/>
    <x v="2"/>
    <s v="Não Informado"/>
  </r>
  <r>
    <x v="12"/>
    <x v="3"/>
    <s v="G"/>
    <x v="2"/>
    <s v="Sul"/>
    <x v="2"/>
    <n v="3"/>
    <n v="120"/>
    <n v="360"/>
    <x v="0"/>
    <n v="36"/>
    <n v="324"/>
    <x v="0"/>
    <x v="1"/>
    <s v="Cliente pediu embalagem"/>
  </r>
  <r>
    <x v="5"/>
    <x v="9"/>
    <s v="Não informado"/>
    <x v="0"/>
    <s v="Sul"/>
    <x v="3"/>
    <n v="3"/>
    <n v="200"/>
    <n v="600"/>
    <x v="1"/>
    <n v="30"/>
    <n v="570"/>
    <x v="1"/>
    <x v="0"/>
    <s v="Não Informado"/>
  </r>
  <r>
    <x v="48"/>
    <x v="1"/>
    <s v="M"/>
    <x v="1"/>
    <s v="Sudeste"/>
    <x v="1"/>
    <n v="2"/>
    <n v="49.9"/>
    <n v="99.8"/>
    <x v="0"/>
    <n v="9.98"/>
    <n v="89.82"/>
    <x v="0"/>
    <x v="3"/>
    <s v="Entrega atrasada"/>
  </r>
  <r>
    <x v="4"/>
    <x v="9"/>
    <s v="Não informado"/>
    <x v="0"/>
    <s v="Sul"/>
    <x v="2"/>
    <n v="3"/>
    <n v="49.9"/>
    <n v="149.69999999999999"/>
    <x v="1"/>
    <n v="7.4850000000000003"/>
    <n v="142.215"/>
    <x v="1"/>
    <x v="2"/>
    <s v="Não Informado"/>
  </r>
  <r>
    <x v="23"/>
    <x v="12"/>
    <s v="Não informado"/>
    <x v="1"/>
    <s v="Sul"/>
    <x v="3"/>
    <n v="2"/>
    <n v="49.9"/>
    <n v="99.8"/>
    <x v="0"/>
    <n v="9.98"/>
    <n v="89.82"/>
    <x v="2"/>
    <x v="1"/>
    <s v="Não Informado"/>
  </r>
  <r>
    <x v="35"/>
    <x v="0"/>
    <s v="Não informado"/>
    <x v="0"/>
    <s v="Sul"/>
    <x v="0"/>
    <n v="3"/>
    <n v="49.9"/>
    <n v="149.69999999999999"/>
    <x v="1"/>
    <n v="7.4850000000000003"/>
    <n v="142.215"/>
    <x v="0"/>
    <x v="0"/>
    <s v="Não Informado"/>
  </r>
  <r>
    <x v="60"/>
    <x v="4"/>
    <s v="Não informado"/>
    <x v="2"/>
    <s v="Não Informado"/>
    <x v="2"/>
    <n v="2"/>
    <n v="199.99"/>
    <n v="399.98"/>
    <x v="1"/>
    <n v="19.998999999999999"/>
    <n v="379.98099999999999"/>
    <x v="1"/>
    <x v="3"/>
    <s v="Não Informado"/>
  </r>
  <r>
    <x v="56"/>
    <x v="4"/>
    <s v="Não informado"/>
    <x v="2"/>
    <s v="Sul"/>
    <x v="1"/>
    <n v="1"/>
    <n v="49.9"/>
    <n v="49.9"/>
    <x v="0"/>
    <n v="4.99"/>
    <n v="44.91"/>
    <x v="1"/>
    <x v="0"/>
    <s v="Cliente pediu embalagem"/>
  </r>
  <r>
    <x v="61"/>
    <x v="4"/>
    <s v="Não informado"/>
    <x v="2"/>
    <s v="Sul"/>
    <x v="0"/>
    <n v="2"/>
    <n v="199.99"/>
    <n v="399.98"/>
    <x v="2"/>
    <n v="0"/>
    <n v="399.98"/>
    <x v="0"/>
    <x v="0"/>
    <s v="Não Informado"/>
  </r>
  <r>
    <x v="17"/>
    <x v="2"/>
    <s v="Não informado"/>
    <x v="0"/>
    <s v="Sul"/>
    <x v="1"/>
    <n v="2"/>
    <n v="120"/>
    <n v="240"/>
    <x v="2"/>
    <n v="0"/>
    <n v="240"/>
    <x v="0"/>
    <x v="1"/>
    <s v="Não Informado"/>
  </r>
  <r>
    <x v="28"/>
    <x v="10"/>
    <s v="M"/>
    <x v="2"/>
    <s v="Não Informado"/>
    <x v="1"/>
    <n v="3"/>
    <n v="120"/>
    <n v="360"/>
    <x v="0"/>
    <n v="36"/>
    <n v="324"/>
    <x v="1"/>
    <x v="2"/>
    <s v="Entrega atrasada"/>
  </r>
  <r>
    <x v="62"/>
    <x v="2"/>
    <s v="M"/>
    <x v="0"/>
    <s v="Sul"/>
    <x v="2"/>
    <n v="3"/>
    <n v="120"/>
    <n v="360"/>
    <x v="0"/>
    <n v="36"/>
    <n v="324"/>
    <x v="1"/>
    <x v="0"/>
    <s v="Cliente desistiu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FAE1FD-8417-4BC8-8985-683AE3EB7AE2}" name="Tabela dinâmica9" cacheId="4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AC1:AD2" firstHeaderRow="0" firstDataRow="1" firstDataCol="0"/>
  <pivotFields count="17">
    <pivotField numFmtId="14" showAll="0">
      <items count="64">
        <item x="3"/>
        <item x="2"/>
        <item x="42"/>
        <item x="38"/>
        <item x="55"/>
        <item x="45"/>
        <item x="19"/>
        <item x="8"/>
        <item x="4"/>
        <item x="62"/>
        <item x="30"/>
        <item x="27"/>
        <item x="56"/>
        <item x="13"/>
        <item x="6"/>
        <item x="47"/>
        <item x="34"/>
        <item x="49"/>
        <item x="37"/>
        <item x="12"/>
        <item x="51"/>
        <item x="36"/>
        <item x="43"/>
        <item x="1"/>
        <item x="20"/>
        <item x="41"/>
        <item x="15"/>
        <item x="50"/>
        <item x="11"/>
        <item x="32"/>
        <item x="35"/>
        <item x="23"/>
        <item x="57"/>
        <item x="5"/>
        <item x="26"/>
        <item x="16"/>
        <item x="53"/>
        <item x="9"/>
        <item x="25"/>
        <item x="21"/>
        <item x="0"/>
        <item x="14"/>
        <item x="7"/>
        <item x="17"/>
        <item x="31"/>
        <item x="29"/>
        <item x="48"/>
        <item x="28"/>
        <item x="24"/>
        <item x="52"/>
        <item x="40"/>
        <item x="18"/>
        <item x="59"/>
        <item x="46"/>
        <item x="61"/>
        <item x="22"/>
        <item x="33"/>
        <item x="10"/>
        <item x="44"/>
        <item x="58"/>
        <item x="60"/>
        <item x="54"/>
        <item x="39"/>
        <item t="default"/>
      </items>
    </pivotField>
    <pivotField showAll="0">
      <items count="18">
        <item x="2"/>
        <item x="9"/>
        <item x="11"/>
        <item x="13"/>
        <item x="3"/>
        <item x="4"/>
        <item x="15"/>
        <item x="6"/>
        <item x="10"/>
        <item x="7"/>
        <item x="14"/>
        <item x="0"/>
        <item x="5"/>
        <item x="16"/>
        <item x="1"/>
        <item x="12"/>
        <item x="8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numFmtId="1" showAll="0"/>
    <pivotField showAll="0"/>
    <pivotField dataField="1" numFmtId="44" showAll="0"/>
    <pivotField numFmtId="10" showAll="0">
      <items count="4">
        <item x="2"/>
        <item x="1"/>
        <item x="0"/>
        <item t="default"/>
      </items>
    </pivotField>
    <pivotField numFmtId="44" showAll="0"/>
    <pivotField dataField="1" numFmtId="44" showAll="0"/>
    <pivotField showAll="0">
      <items count="4">
        <item x="0"/>
        <item x="2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Soma de Valor_Total" fld="8" baseField="0" baseItem="0" numFmtId="44"/>
    <dataField name="Soma de Valor_Pago" fld="11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B2D04A-07A0-40C7-8958-FB8317636963}" name="Tabela dinâmica8" cacheId="4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Z1:AA6" firstHeaderRow="1" firstDataRow="1" firstDataCol="1"/>
  <pivotFields count="17">
    <pivotField numFmtId="14" showAll="0">
      <items count="64">
        <item x="3"/>
        <item x="2"/>
        <item x="42"/>
        <item x="38"/>
        <item x="55"/>
        <item x="45"/>
        <item x="19"/>
        <item x="8"/>
        <item x="4"/>
        <item x="62"/>
        <item x="30"/>
        <item x="27"/>
        <item x="56"/>
        <item x="13"/>
        <item x="6"/>
        <item x="47"/>
        <item x="34"/>
        <item x="49"/>
        <item x="37"/>
        <item x="12"/>
        <item x="51"/>
        <item x="36"/>
        <item x="43"/>
        <item x="1"/>
        <item x="20"/>
        <item x="41"/>
        <item x="15"/>
        <item x="50"/>
        <item x="11"/>
        <item x="32"/>
        <item x="35"/>
        <item x="23"/>
        <item x="57"/>
        <item x="5"/>
        <item x="26"/>
        <item x="16"/>
        <item x="53"/>
        <item x="9"/>
        <item x="25"/>
        <item x="21"/>
        <item x="0"/>
        <item x="14"/>
        <item x="7"/>
        <item x="17"/>
        <item x="31"/>
        <item x="29"/>
        <item x="48"/>
        <item x="28"/>
        <item x="24"/>
        <item x="52"/>
        <item x="40"/>
        <item x="18"/>
        <item x="59"/>
        <item x="46"/>
        <item x="61"/>
        <item x="22"/>
        <item x="33"/>
        <item x="10"/>
        <item x="44"/>
        <item x="58"/>
        <item x="60"/>
        <item x="54"/>
        <item x="39"/>
        <item t="default"/>
      </items>
    </pivotField>
    <pivotField showAll="0">
      <items count="18">
        <item x="2"/>
        <item x="9"/>
        <item x="11"/>
        <item x="13"/>
        <item x="3"/>
        <item x="4"/>
        <item x="15"/>
        <item x="6"/>
        <item x="10"/>
        <item x="7"/>
        <item x="14"/>
        <item x="0"/>
        <item x="5"/>
        <item x="16"/>
        <item x="1"/>
        <item x="12"/>
        <item x="8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axis="axisRow" showAll="0">
      <items count="5">
        <item x="3"/>
        <item x="0"/>
        <item x="1"/>
        <item x="2"/>
        <item t="default"/>
      </items>
    </pivotField>
    <pivotField numFmtId="1" showAll="0"/>
    <pivotField showAll="0"/>
    <pivotField numFmtId="44" showAll="0"/>
    <pivotField numFmtId="10" showAll="0">
      <items count="4">
        <item x="2"/>
        <item x="1"/>
        <item x="0"/>
        <item t="default"/>
      </items>
    </pivotField>
    <pivotField numFmtId="44" showAll="0"/>
    <pivotField dataField="1" numFmtId="44" showAll="0"/>
    <pivotField showAll="0">
      <items count="4">
        <item x="0"/>
        <item x="2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Valor_Pago" fld="11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114410-DA3E-4E62-B638-2A722AFC01EF}" name="Tabela dinâmica7" cacheId="4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W1:X6" firstHeaderRow="1" firstDataRow="1" firstDataCol="1"/>
  <pivotFields count="17">
    <pivotField numFmtId="14" showAll="0">
      <items count="64">
        <item x="3"/>
        <item x="2"/>
        <item x="42"/>
        <item x="38"/>
        <item x="55"/>
        <item x="45"/>
        <item x="19"/>
        <item x="8"/>
        <item x="4"/>
        <item x="62"/>
        <item x="30"/>
        <item x="27"/>
        <item x="56"/>
        <item x="13"/>
        <item x="6"/>
        <item x="47"/>
        <item x="34"/>
        <item x="49"/>
        <item x="37"/>
        <item x="12"/>
        <item x="51"/>
        <item x="36"/>
        <item x="43"/>
        <item x="1"/>
        <item x="20"/>
        <item x="41"/>
        <item x="15"/>
        <item x="50"/>
        <item x="11"/>
        <item x="32"/>
        <item x="35"/>
        <item x="23"/>
        <item x="57"/>
        <item x="5"/>
        <item x="26"/>
        <item x="16"/>
        <item x="53"/>
        <item x="9"/>
        <item x="25"/>
        <item x="21"/>
        <item x="0"/>
        <item x="14"/>
        <item x="7"/>
        <item x="17"/>
        <item x="31"/>
        <item x="29"/>
        <item x="48"/>
        <item x="28"/>
        <item x="24"/>
        <item x="52"/>
        <item x="40"/>
        <item x="18"/>
        <item x="59"/>
        <item x="46"/>
        <item x="61"/>
        <item x="22"/>
        <item x="33"/>
        <item x="10"/>
        <item x="44"/>
        <item x="58"/>
        <item x="60"/>
        <item x="54"/>
        <item x="39"/>
        <item t="default"/>
      </items>
    </pivotField>
    <pivotField showAll="0">
      <items count="18">
        <item x="2"/>
        <item x="9"/>
        <item x="11"/>
        <item x="13"/>
        <item x="3"/>
        <item x="4"/>
        <item x="15"/>
        <item x="6"/>
        <item x="10"/>
        <item x="7"/>
        <item x="14"/>
        <item x="0"/>
        <item x="5"/>
        <item x="16"/>
        <item x="1"/>
        <item x="12"/>
        <item x="8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axis="axisRow" showAll="0">
      <items count="5">
        <item x="3"/>
        <item x="0"/>
        <item x="1"/>
        <item x="2"/>
        <item t="default"/>
      </items>
    </pivotField>
    <pivotField dataField="1" numFmtId="1" showAll="0"/>
    <pivotField showAll="0"/>
    <pivotField numFmtId="44" showAll="0"/>
    <pivotField numFmtId="10" showAll="0">
      <items count="4">
        <item x="2"/>
        <item x="1"/>
        <item x="0"/>
        <item t="default"/>
      </items>
    </pivotField>
    <pivotField numFmtId="44" showAll="0"/>
    <pivotField numFmtId="44" showAll="0"/>
    <pivotField showAll="0">
      <items count="4">
        <item x="0"/>
        <item x="2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Quantidade" fld="6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01D504-6BBF-4AEF-900F-94618E1A65E2}" name="Tabela dinâmica6" cacheId="4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H1:I19" firstHeaderRow="1" firstDataRow="1" firstDataCol="1"/>
  <pivotFields count="17">
    <pivotField numFmtId="14" showAll="0">
      <items count="64">
        <item x="3"/>
        <item x="2"/>
        <item x="42"/>
        <item x="38"/>
        <item x="55"/>
        <item x="45"/>
        <item x="19"/>
        <item x="8"/>
        <item x="4"/>
        <item x="62"/>
        <item x="30"/>
        <item x="27"/>
        <item x="56"/>
        <item x="13"/>
        <item x="6"/>
        <item x="47"/>
        <item x="34"/>
        <item x="49"/>
        <item x="37"/>
        <item x="12"/>
        <item x="51"/>
        <item x="36"/>
        <item x="43"/>
        <item x="1"/>
        <item x="20"/>
        <item x="41"/>
        <item x="15"/>
        <item x="50"/>
        <item x="11"/>
        <item x="32"/>
        <item x="35"/>
        <item x="23"/>
        <item x="57"/>
        <item x="5"/>
        <item x="26"/>
        <item x="16"/>
        <item x="53"/>
        <item x="9"/>
        <item x="25"/>
        <item x="21"/>
        <item x="0"/>
        <item x="14"/>
        <item x="7"/>
        <item x="17"/>
        <item x="31"/>
        <item x="29"/>
        <item x="48"/>
        <item x="28"/>
        <item x="24"/>
        <item x="52"/>
        <item x="40"/>
        <item x="18"/>
        <item x="59"/>
        <item x="46"/>
        <item x="61"/>
        <item x="22"/>
        <item x="33"/>
        <item x="10"/>
        <item x="44"/>
        <item x="58"/>
        <item x="60"/>
        <item x="54"/>
        <item x="39"/>
        <item t="default"/>
      </items>
    </pivotField>
    <pivotField axis="axisRow" showAll="0">
      <items count="18">
        <item x="2"/>
        <item x="9"/>
        <item x="11"/>
        <item x="13"/>
        <item x="3"/>
        <item x="4"/>
        <item x="15"/>
        <item x="6"/>
        <item x="10"/>
        <item x="7"/>
        <item x="14"/>
        <item x="0"/>
        <item x="5"/>
        <item x="16"/>
        <item x="1"/>
        <item x="12"/>
        <item x="8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numFmtId="1" showAll="0"/>
    <pivotField showAll="0"/>
    <pivotField numFmtId="44" showAll="0"/>
    <pivotField numFmtId="10" showAll="0">
      <items count="4">
        <item x="2"/>
        <item x="1"/>
        <item x="0"/>
        <item t="default"/>
      </items>
    </pivotField>
    <pivotField numFmtId="44" showAll="0"/>
    <pivotField dataField="1" numFmtId="44" showAll="0"/>
    <pivotField showAll="0">
      <items count="4">
        <item x="0"/>
        <item x="2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oma de Valor_Pago" fld="11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051E02-4DCF-4869-B3AD-D49BA91F8EB1}" name="Tabela dinâmica5" cacheId="4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E1:F19" firstHeaderRow="1" firstDataRow="1" firstDataCol="1"/>
  <pivotFields count="17">
    <pivotField numFmtId="14" showAll="0">
      <items count="64">
        <item x="3"/>
        <item x="2"/>
        <item x="42"/>
        <item x="38"/>
        <item x="55"/>
        <item x="45"/>
        <item x="19"/>
        <item x="8"/>
        <item x="4"/>
        <item x="62"/>
        <item x="30"/>
        <item x="27"/>
        <item x="56"/>
        <item x="13"/>
        <item x="6"/>
        <item x="47"/>
        <item x="34"/>
        <item x="49"/>
        <item x="37"/>
        <item x="12"/>
        <item x="51"/>
        <item x="36"/>
        <item x="43"/>
        <item x="1"/>
        <item x="20"/>
        <item x="41"/>
        <item x="15"/>
        <item x="50"/>
        <item x="11"/>
        <item x="32"/>
        <item x="35"/>
        <item x="23"/>
        <item x="57"/>
        <item x="5"/>
        <item x="26"/>
        <item x="16"/>
        <item x="53"/>
        <item x="9"/>
        <item x="25"/>
        <item x="21"/>
        <item x="0"/>
        <item x="14"/>
        <item x="7"/>
        <item x="17"/>
        <item x="31"/>
        <item x="29"/>
        <item x="48"/>
        <item x="28"/>
        <item x="24"/>
        <item x="52"/>
        <item x="40"/>
        <item x="18"/>
        <item x="59"/>
        <item x="46"/>
        <item x="61"/>
        <item x="22"/>
        <item x="33"/>
        <item x="10"/>
        <item x="44"/>
        <item x="58"/>
        <item x="60"/>
        <item x="54"/>
        <item x="39"/>
        <item t="default"/>
      </items>
    </pivotField>
    <pivotField axis="axisRow" showAll="0">
      <items count="18">
        <item x="2"/>
        <item x="9"/>
        <item x="11"/>
        <item x="13"/>
        <item x="3"/>
        <item x="4"/>
        <item x="15"/>
        <item x="6"/>
        <item x="10"/>
        <item x="7"/>
        <item x="14"/>
        <item x="0"/>
        <item x="5"/>
        <item x="16"/>
        <item x="1"/>
        <item x="12"/>
        <item x="8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numFmtId="1" showAll="0"/>
    <pivotField showAll="0"/>
    <pivotField numFmtId="44" showAll="0"/>
    <pivotField numFmtId="10" showAll="0">
      <items count="4">
        <item x="2"/>
        <item x="1"/>
        <item x="0"/>
        <item t="default"/>
      </items>
    </pivotField>
    <pivotField numFmtId="44" showAll="0"/>
    <pivotField numFmtId="44" showAll="0"/>
    <pivotField showAll="0">
      <items count="4">
        <item x="0"/>
        <item x="2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oma de Quantidade" fld="6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F4AEA8-BFD9-492D-9BD5-F57C68DAACB3}" name="Tabela dinâmica4" cacheId="4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T1:U5" firstHeaderRow="1" firstDataRow="1" firstDataCol="1"/>
  <pivotFields count="17">
    <pivotField numFmtId="14" showAll="0">
      <items count="64">
        <item x="3"/>
        <item x="2"/>
        <item x="42"/>
        <item x="38"/>
        <item x="55"/>
        <item x="45"/>
        <item x="19"/>
        <item x="8"/>
        <item x="4"/>
        <item x="62"/>
        <item x="30"/>
        <item x="27"/>
        <item x="56"/>
        <item x="13"/>
        <item x="6"/>
        <item x="47"/>
        <item x="34"/>
        <item x="49"/>
        <item x="37"/>
        <item x="12"/>
        <item x="51"/>
        <item x="36"/>
        <item x="43"/>
        <item x="1"/>
        <item x="20"/>
        <item x="41"/>
        <item x="15"/>
        <item x="50"/>
        <item x="11"/>
        <item x="32"/>
        <item x="35"/>
        <item x="23"/>
        <item x="57"/>
        <item x="5"/>
        <item x="26"/>
        <item x="16"/>
        <item x="53"/>
        <item x="9"/>
        <item x="25"/>
        <item x="21"/>
        <item x="0"/>
        <item x="14"/>
        <item x="7"/>
        <item x="17"/>
        <item x="31"/>
        <item x="29"/>
        <item x="48"/>
        <item x="28"/>
        <item x="24"/>
        <item x="52"/>
        <item x="40"/>
        <item x="18"/>
        <item x="59"/>
        <item x="46"/>
        <item x="61"/>
        <item x="22"/>
        <item x="33"/>
        <item x="10"/>
        <item x="44"/>
        <item x="58"/>
        <item x="60"/>
        <item x="54"/>
        <item x="39"/>
        <item t="default"/>
      </items>
    </pivotField>
    <pivotField showAll="0">
      <items count="18">
        <item x="2"/>
        <item x="9"/>
        <item x="11"/>
        <item x="13"/>
        <item x="3"/>
        <item x="4"/>
        <item x="15"/>
        <item x="6"/>
        <item x="10"/>
        <item x="7"/>
        <item x="14"/>
        <item x="0"/>
        <item x="5"/>
        <item x="16"/>
        <item x="1"/>
        <item x="12"/>
        <item x="8"/>
        <item t="default"/>
      </items>
    </pivotField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numFmtId="1" showAll="0"/>
    <pivotField showAll="0"/>
    <pivotField numFmtId="44" showAll="0"/>
    <pivotField numFmtId="10" showAll="0">
      <items count="4">
        <item x="2"/>
        <item x="1"/>
        <item x="0"/>
        <item t="default"/>
      </items>
    </pivotField>
    <pivotField numFmtId="44" showAll="0"/>
    <pivotField numFmtId="44" showAll="0"/>
    <pivotField showAll="0">
      <items count="4">
        <item x="0"/>
        <item x="2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Categoria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DB3423-53E6-417D-8CBD-71528C9917C6}" name="Tabela dinâmica3" cacheId="4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Q1:R6" firstHeaderRow="1" firstDataRow="1" firstDataCol="1"/>
  <pivotFields count="17">
    <pivotField numFmtId="14" showAll="0">
      <items count="64">
        <item x="3"/>
        <item x="2"/>
        <item x="42"/>
        <item x="38"/>
        <item x="55"/>
        <item x="45"/>
        <item x="19"/>
        <item x="8"/>
        <item x="4"/>
        <item x="62"/>
        <item x="30"/>
        <item x="27"/>
        <item x="56"/>
        <item x="13"/>
        <item x="6"/>
        <item x="47"/>
        <item x="34"/>
        <item x="49"/>
        <item x="37"/>
        <item x="12"/>
        <item x="51"/>
        <item x="36"/>
        <item x="43"/>
        <item x="1"/>
        <item x="20"/>
        <item x="41"/>
        <item x="15"/>
        <item x="50"/>
        <item x="11"/>
        <item x="32"/>
        <item x="35"/>
        <item x="23"/>
        <item x="57"/>
        <item x="5"/>
        <item x="26"/>
        <item x="16"/>
        <item x="53"/>
        <item x="9"/>
        <item x="25"/>
        <item x="21"/>
        <item x="0"/>
        <item x="14"/>
        <item x="7"/>
        <item x="17"/>
        <item x="31"/>
        <item x="29"/>
        <item x="48"/>
        <item x="28"/>
        <item x="24"/>
        <item x="52"/>
        <item x="40"/>
        <item x="18"/>
        <item x="59"/>
        <item x="46"/>
        <item x="61"/>
        <item x="22"/>
        <item x="33"/>
        <item x="10"/>
        <item x="44"/>
        <item x="58"/>
        <item x="60"/>
        <item x="54"/>
        <item x="39"/>
        <item t="default"/>
      </items>
    </pivotField>
    <pivotField dataField="1" showAll="0">
      <items count="18">
        <item x="2"/>
        <item x="9"/>
        <item x="11"/>
        <item x="13"/>
        <item x="3"/>
        <item x="4"/>
        <item x="15"/>
        <item x="6"/>
        <item x="10"/>
        <item x="7"/>
        <item x="14"/>
        <item x="0"/>
        <item x="5"/>
        <item x="16"/>
        <item x="1"/>
        <item x="12"/>
        <item x="8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numFmtId="1" showAll="0"/>
    <pivotField showAll="0"/>
    <pivotField numFmtId="44" showAll="0"/>
    <pivotField numFmtId="10" showAll="0">
      <items count="4">
        <item x="2"/>
        <item x="1"/>
        <item x="0"/>
        <item t="default"/>
      </items>
    </pivotField>
    <pivotField numFmtId="44" showAll="0"/>
    <pivotField numFmtId="44" showAll="0"/>
    <pivotField showAll="0">
      <items count="4">
        <item x="0"/>
        <item x="2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6"/>
  </rowFields>
  <rowItems count="5"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ntagem de Produto" fld="1" subtotal="count" baseField="0" baseItem="0"/>
  </dataFields>
  <chartFormats count="1"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E20CA1-1B28-4A0A-94B4-2F29ED21EF34}" name="Tabela dinâmica2" cacheId="4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K1:O6" firstHeaderRow="1" firstDataRow="2" firstDataCol="1"/>
  <pivotFields count="17">
    <pivotField numFmtId="14" showAll="0">
      <items count="64">
        <item x="3"/>
        <item x="2"/>
        <item x="42"/>
        <item x="38"/>
        <item x="55"/>
        <item x="45"/>
        <item x="19"/>
        <item x="8"/>
        <item x="4"/>
        <item x="62"/>
        <item x="30"/>
        <item x="27"/>
        <item x="56"/>
        <item x="13"/>
        <item x="6"/>
        <item x="47"/>
        <item x="34"/>
        <item x="49"/>
        <item x="37"/>
        <item x="12"/>
        <item x="51"/>
        <item x="36"/>
        <item x="43"/>
        <item x="1"/>
        <item x="20"/>
        <item x="41"/>
        <item x="15"/>
        <item x="50"/>
        <item x="11"/>
        <item x="32"/>
        <item x="35"/>
        <item x="23"/>
        <item x="57"/>
        <item x="5"/>
        <item x="26"/>
        <item x="16"/>
        <item x="53"/>
        <item x="9"/>
        <item x="25"/>
        <item x="21"/>
        <item x="0"/>
        <item x="14"/>
        <item x="7"/>
        <item x="17"/>
        <item x="31"/>
        <item x="29"/>
        <item x="48"/>
        <item x="28"/>
        <item x="24"/>
        <item x="52"/>
        <item x="40"/>
        <item x="18"/>
        <item x="59"/>
        <item x="46"/>
        <item x="61"/>
        <item x="22"/>
        <item x="33"/>
        <item x="10"/>
        <item x="44"/>
        <item x="58"/>
        <item x="60"/>
        <item x="54"/>
        <item x="39"/>
        <item t="default"/>
      </items>
    </pivotField>
    <pivotField showAll="0">
      <items count="18">
        <item x="2"/>
        <item x="9"/>
        <item x="11"/>
        <item x="13"/>
        <item x="3"/>
        <item x="4"/>
        <item x="15"/>
        <item x="6"/>
        <item x="10"/>
        <item x="7"/>
        <item x="14"/>
        <item x="0"/>
        <item x="5"/>
        <item x="16"/>
        <item x="1"/>
        <item x="12"/>
        <item x="8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1" showAll="0"/>
    <pivotField showAll="0"/>
    <pivotField numFmtId="44" showAll="0"/>
    <pivotField axis="axisCol" dataField="1" numFmtId="10" showAll="0">
      <items count="4">
        <item x="2"/>
        <item x="1"/>
        <item x="0"/>
        <item t="default"/>
      </items>
    </pivotField>
    <pivotField numFmtId="44" showAll="0"/>
    <pivotField numFmtId="44" showAll="0"/>
    <pivotField showAll="0">
      <items count="4">
        <item x="0"/>
        <item x="2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Contagem de Desconto" fld="9" subtotal="count" baseField="1" baseItem="0"/>
  </dataFields>
  <chartFormats count="4"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F975A5-E086-4583-8078-4FFF841A78E8}" name="Tabela dinâmica1" cacheId="4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A1:B19" firstHeaderRow="1" firstDataRow="1" firstDataCol="1"/>
  <pivotFields count="17">
    <pivotField numFmtId="14" showAll="0">
      <items count="64">
        <item x="3"/>
        <item x="2"/>
        <item x="42"/>
        <item x="38"/>
        <item x="55"/>
        <item x="45"/>
        <item x="19"/>
        <item x="8"/>
        <item x="4"/>
        <item x="62"/>
        <item x="30"/>
        <item x="27"/>
        <item x="56"/>
        <item x="13"/>
        <item x="6"/>
        <item x="47"/>
        <item x="34"/>
        <item x="49"/>
        <item x="37"/>
        <item x="12"/>
        <item x="51"/>
        <item x="36"/>
        <item x="43"/>
        <item x="1"/>
        <item x="20"/>
        <item x="41"/>
        <item x="15"/>
        <item x="50"/>
        <item x="11"/>
        <item x="32"/>
        <item x="35"/>
        <item x="23"/>
        <item x="57"/>
        <item x="5"/>
        <item x="26"/>
        <item x="16"/>
        <item x="53"/>
        <item x="9"/>
        <item x="25"/>
        <item x="21"/>
        <item x="0"/>
        <item x="14"/>
        <item x="7"/>
        <item x="17"/>
        <item x="31"/>
        <item x="29"/>
        <item x="48"/>
        <item x="28"/>
        <item x="24"/>
        <item x="52"/>
        <item x="40"/>
        <item x="18"/>
        <item x="59"/>
        <item x="46"/>
        <item x="61"/>
        <item x="22"/>
        <item x="33"/>
        <item x="10"/>
        <item x="44"/>
        <item x="58"/>
        <item x="60"/>
        <item x="54"/>
        <item x="39"/>
        <item t="default"/>
      </items>
    </pivotField>
    <pivotField axis="axisRow" showAll="0">
      <items count="18">
        <item x="2"/>
        <item x="9"/>
        <item x="11"/>
        <item x="13"/>
        <item x="3"/>
        <item x="4"/>
        <item x="15"/>
        <item x="6"/>
        <item x="10"/>
        <item x="7"/>
        <item x="14"/>
        <item x="0"/>
        <item x="5"/>
        <item x="16"/>
        <item x="1"/>
        <item x="12"/>
        <item x="8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numFmtId="1" showAll="0"/>
    <pivotField showAll="0"/>
    <pivotField numFmtId="44" showAll="0"/>
    <pivotField numFmtId="10" showAll="0">
      <items count="4">
        <item x="2"/>
        <item x="1"/>
        <item x="0"/>
        <item t="default"/>
      </items>
    </pivotField>
    <pivotField numFmtId="44" showAll="0"/>
    <pivotField dataField="1" numFmtId="44" showAll="0"/>
    <pivotField showAll="0">
      <items count="4">
        <item x="0"/>
        <item x="2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oma de Valor_Pago" fld="11" baseField="0" baseItem="0" numFmtId="44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E3849E55-F473-4351-B22B-3F2F64BF91DE}" autoFormatId="16" applyNumberFormats="0" applyBorderFormats="0" applyFontFormats="0" applyPatternFormats="0" applyAlignmentFormats="0" applyWidthHeightFormats="0">
  <queryTableRefresh nextId="22">
    <queryTableFields count="15">
      <queryTableField id="1" name="Data_Venda" tableColumnId="1"/>
      <queryTableField id="14" name="Produto" tableColumnId="2"/>
      <queryTableField id="3" name="Tamanhos" tableColumnId="3"/>
      <queryTableField id="4" name="Categoria" tableColumnId="4"/>
      <queryTableField id="5" name="Região" tableColumnId="5"/>
      <queryTableField id="6" name="Vendedor" tableColumnId="6"/>
      <queryTableField id="7" name="Quantidade" tableColumnId="7"/>
      <queryTableField id="15" name="Preco_Unitário" tableColumnId="8"/>
      <queryTableField id="9" name="Valor_Total" tableColumnId="9"/>
      <queryTableField id="10" name="Desconto" tableColumnId="10"/>
      <queryTableField id="16" name="Valor_Desconto_Reais" tableColumnId="14"/>
      <queryTableField id="17" name="Valor_Pago" tableColumnId="15"/>
      <queryTableField id="11" name="Forma_Pagamento" tableColumnId="11"/>
      <queryTableField id="12" name="Status_Entrega" tableColumnId="12"/>
      <queryTableField id="13" name="Observações" tableColumnId="13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" xr10:uid="{6B2D2F73-B43D-44EF-A5DE-13D6090D05F7}" sourceName="Produto">
  <pivotTables>
    <pivotTable tabId="4" name="Tabela dinâmica1"/>
    <pivotTable tabId="4" name="Tabela dinâmica2"/>
    <pivotTable tabId="4" name="Tabela dinâmica3"/>
    <pivotTable tabId="4" name="Tabela dinâmica4"/>
    <pivotTable tabId="4" name="Tabela dinâmica5"/>
    <pivotTable tabId="4" name="Tabela dinâmica6"/>
    <pivotTable tabId="4" name="Tabela dinâmica7"/>
    <pivotTable tabId="4" name="Tabela dinâmica8"/>
    <pivotTable tabId="4" name="Tabela dinâmica9"/>
  </pivotTables>
  <data>
    <tabular pivotCacheId="852473411">
      <items count="17">
        <i x="2" s="1"/>
        <i x="9" s="1"/>
        <i x="11" s="1"/>
        <i x="13" s="1"/>
        <i x="3" s="1"/>
        <i x="4" s="1"/>
        <i x="15" s="1"/>
        <i x="6" s="1"/>
        <i x="10" s="1"/>
        <i x="7" s="1"/>
        <i x="14" s="1"/>
        <i x="0" s="1"/>
        <i x="5" s="1"/>
        <i x="16" s="1"/>
        <i x="1" s="1"/>
        <i x="12" s="1"/>
        <i x="8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" xr10:uid="{CDF53C44-07D5-4FA1-AE09-51CA7C603523}" sourceName="Categoria">
  <pivotTables>
    <pivotTable tabId="4" name="Tabela dinâmica1"/>
    <pivotTable tabId="4" name="Tabela dinâmica2"/>
    <pivotTable tabId="4" name="Tabela dinâmica3"/>
    <pivotTable tabId="4" name="Tabela dinâmica4"/>
    <pivotTable tabId="4" name="Tabela dinâmica5"/>
    <pivotTable tabId="4" name="Tabela dinâmica6"/>
    <pivotTable tabId="4" name="Tabela dinâmica7"/>
    <pivotTable tabId="4" name="Tabela dinâmica8"/>
    <pivotTable tabId="4" name="Tabela dinâmica9"/>
  </pivotTables>
  <data>
    <tabular pivotCacheId="852473411">
      <items count="3">
        <i x="0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Forma_Pagamento" xr10:uid="{07727A0C-8697-42D7-8E31-3FF3CF4301EA}" sourceName="Forma_Pagamento">
  <pivotTables>
    <pivotTable tabId="4" name="Tabela dinâmica1"/>
    <pivotTable tabId="4" name="Tabela dinâmica2"/>
    <pivotTable tabId="4" name="Tabela dinâmica3"/>
    <pivotTable tabId="4" name="Tabela dinâmica4"/>
    <pivotTable tabId="4" name="Tabela dinâmica5"/>
    <pivotTable tabId="4" name="Tabela dinâmica6"/>
    <pivotTable tabId="4" name="Tabela dinâmica7"/>
    <pivotTable tabId="4" name="Tabela dinâmica8"/>
    <pivotTable tabId="4" name="Tabela dinâmica9"/>
  </pivotTables>
  <data>
    <tabular pivotCacheId="852473411">
      <items count="3">
        <i x="0" s="1"/>
        <i x="2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_Entrega" xr10:uid="{40645F2A-51A0-4DE2-9B12-904C17E8B172}" sourceName="Status_Entrega">
  <pivotTables>
    <pivotTable tabId="4" name="Tabela dinâmica1"/>
    <pivotTable tabId="4" name="Tabela dinâmica2"/>
    <pivotTable tabId="4" name="Tabela dinâmica3"/>
    <pivotTable tabId="4" name="Tabela dinâmica4"/>
    <pivotTable tabId="4" name="Tabela dinâmica5"/>
    <pivotTable tabId="4" name="Tabela dinâmica6"/>
    <pivotTable tabId="4" name="Tabela dinâmica7"/>
    <pivotTable tabId="4" name="Tabela dinâmica8"/>
    <pivotTable tabId="4" name="Tabela dinâmica9"/>
  </pivotTables>
  <data>
    <tabular pivotCacheId="852473411">
      <items count="4">
        <i x="1" s="1"/>
        <i x="0" s="1"/>
        <i x="3" s="1"/>
        <i x="2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esconto" xr10:uid="{2E909B3B-B57A-409F-9080-E4BB2D21D217}" sourceName="Desconto">
  <pivotTables>
    <pivotTable tabId="4" name="Tabela dinâmica2"/>
    <pivotTable tabId="4" name="Tabela dinâmica1"/>
    <pivotTable tabId="4" name="Tabela dinâmica3"/>
    <pivotTable tabId="4" name="Tabela dinâmica4"/>
    <pivotTable tabId="4" name="Tabela dinâmica5"/>
    <pivotTable tabId="4" name="Tabela dinâmica6"/>
    <pivotTable tabId="4" name="Tabela dinâmica7"/>
    <pivotTable tabId="4" name="Tabela dinâmica8"/>
    <pivotTable tabId="4" name="Tabela dinâmica9"/>
  </pivotTables>
  <data>
    <tabular pivotCacheId="852473411">
      <items count="3">
        <i x="2" s="1"/>
        <i x="1" s="1"/>
        <i x="0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eses__Data_Venda" xr10:uid="{52CB35C5-A688-4280-8A61-080C2A1E23C9}" sourceName="Meses (Data_Venda)">
  <pivotTables>
    <pivotTable tabId="4" name="Tabela dinâmica3"/>
    <pivotTable tabId="4" name="Tabela dinâmica1"/>
    <pivotTable tabId="4" name="Tabela dinâmica2"/>
    <pivotTable tabId="4" name="Tabela dinâmica4"/>
    <pivotTable tabId="4" name="Tabela dinâmica5"/>
    <pivotTable tabId="4" name="Tabela dinâmica6"/>
    <pivotTable tabId="4" name="Tabela dinâmica7"/>
    <pivotTable tabId="4" name="Tabela dinâmica8"/>
    <pivotTable tabId="4" name="Tabela dinâmica9"/>
  </pivotTables>
  <data>
    <tabular pivotCacheId="852473411">
      <items count="14">
        <i x="9" s="1"/>
        <i x="10" s="1"/>
        <i x="11" s="1"/>
        <i x="12" s="1"/>
        <i x="1" s="1" nd="1"/>
        <i x="2" s="1" nd="1"/>
        <i x="3" s="1" nd="1"/>
        <i x="4" s="1" nd="1"/>
        <i x="5" s="1" nd="1"/>
        <i x="6" s="1" nd="1"/>
        <i x="7" s="1" nd="1"/>
        <i x="8" s="1" nd="1"/>
        <i x="0" s="1" nd="1"/>
        <i x="1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to" xr10:uid="{02BBC1CA-23EF-41BF-9C48-55819D9FF072}" cache="SegmentaçãodeDados_Produto" caption="Produto" style="SlicerStyleDark2 2" rowHeight="257175"/>
  <slicer name="Categoria" xr10:uid="{C7A1CB07-4A4D-4B93-B7FC-DB363AB563CD}" cache="SegmentaçãodeDados_Categoria" caption="Categoria" style="SlicerStyleDark2 2" rowHeight="257175"/>
  <slicer name="Forma_Pagamento" xr10:uid="{5A0102D8-51F7-45F2-8BBE-3242D7A077C0}" cache="SegmentaçãodeDados_Forma_Pagamento" caption="Forma_Pagamento" style="SlicerStyleDark2 2" rowHeight="257175"/>
  <slicer name="Status_Entrega" xr10:uid="{F7960EE8-BC7B-4788-8D56-2C62BEF5E2B7}" cache="SegmentaçãodeDados_Status_Entrega" caption="Status_Entrega" style="SlicerStyleDark2 2" rowHeight="257175"/>
  <slicer name="Desconto" xr10:uid="{3CAB5E96-E21E-4A5F-90EF-179009099D24}" cache="SegmentaçãodeDados_Desconto" caption="Desconto" style="SlicerStyleDark2 2" rowHeight="257175"/>
  <slicer name="Meses (Data_Venda)" xr10:uid="{43A928F5-D5FC-4BAD-BA9C-4F0B9118382B}" cache="SegmentaçãodeDados_Meses__Data_Venda" caption="Meses (Data_Venda)" style="SlicerStyleDark2 2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9E734D-95B5-457F-B0E6-8A2EE66008F2}" name="tbl_dados" displayName="tbl_dados" ref="A1:O101" tableType="queryTable" totalsRowShown="0">
  <autoFilter ref="A1:O101" xr:uid="{799E734D-95B5-457F-B0E6-8A2EE66008F2}"/>
  <tableColumns count="15">
    <tableColumn id="1" xr3:uid="{1A96EC8D-5C6D-4226-BF78-522DDAABDF59}" uniqueName="1" name="Data_Venda" queryTableFieldId="1" dataDxfId="13"/>
    <tableColumn id="2" xr3:uid="{4C73CDFB-789C-44B6-A439-54FBD3F6BFE0}" uniqueName="2" name="Produto" queryTableFieldId="14" dataDxfId="12"/>
    <tableColumn id="3" xr3:uid="{E967700D-BBC0-432E-8CC9-410CE333B005}" uniqueName="3" name="Tamanhos" queryTableFieldId="3" dataDxfId="11"/>
    <tableColumn id="4" xr3:uid="{F34A0A30-6920-4C56-81BB-5E52475B4E41}" uniqueName="4" name="Categoria" queryTableFieldId="4" dataDxfId="10"/>
    <tableColumn id="5" xr3:uid="{6C73417A-9D61-4075-9C57-4B1D9EACAD87}" uniqueName="5" name="Região" queryTableFieldId="5" dataDxfId="9"/>
    <tableColumn id="6" xr3:uid="{E395026F-6353-45AC-9F49-D8787BEE1597}" uniqueName="6" name="Vendedor" queryTableFieldId="6" dataDxfId="8"/>
    <tableColumn id="7" xr3:uid="{36436F88-89C8-4BA4-8863-341968B34149}" uniqueName="7" name="Quantidade" queryTableFieldId="7" dataDxfId="7"/>
    <tableColumn id="8" xr3:uid="{14CC6824-0088-4A38-BD1C-501274F277E8}" uniqueName="8" name="Preco_Unitário" queryTableFieldId="15"/>
    <tableColumn id="9" xr3:uid="{BE5F1E86-4D1C-4809-817F-73071BE3B39B}" uniqueName="9" name="Valor_Total" queryTableFieldId="9" dataDxfId="6" dataCellStyle="Moeda"/>
    <tableColumn id="10" xr3:uid="{6FAA63CB-1396-4218-A532-07462A407750}" uniqueName="10" name="Desconto" queryTableFieldId="10" dataDxfId="5"/>
    <tableColumn id="14" xr3:uid="{FF046108-6362-46C5-8804-09D8AD05BA0A}" uniqueName="14" name="Valor_Desconto_Reais" queryTableFieldId="16" dataDxfId="4" dataCellStyle="Moeda"/>
    <tableColumn id="15" xr3:uid="{36A1752D-ECC9-46FB-9F42-4311A378F85B}" uniqueName="15" name="Valor_Pago" queryTableFieldId="17" dataDxfId="3" dataCellStyle="Moeda"/>
    <tableColumn id="11" xr3:uid="{2B95001A-B4BE-4795-A53E-BFAE80E3F17E}" uniqueName="11" name="Forma_Pagamento" queryTableFieldId="11" dataDxfId="2"/>
    <tableColumn id="12" xr3:uid="{5CD14EDE-C175-4410-A9D8-532EBA2AD5C6}" uniqueName="12" name="Status_Entrega" queryTableFieldId="12" dataDxfId="1"/>
    <tableColumn id="13" xr3:uid="{5096290A-EFAC-48D7-8E57-1F6407D4537F}" uniqueName="13" name="Observações" queryTableFieldId="13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F310C-0CDC-462B-A16D-7ACB98F25F69}">
  <dimension ref="B2:N45"/>
  <sheetViews>
    <sheetView showGridLines="0" zoomScale="115" zoomScaleNormal="115" workbookViewId="0">
      <selection activeCell="I28" sqref="I28:N28"/>
    </sheetView>
  </sheetViews>
  <sheetFormatPr defaultRowHeight="15" x14ac:dyDescent="0.25"/>
  <sheetData>
    <row r="2" spans="2:14" ht="15.75" thickBot="1" x14ac:dyDescent="0.3"/>
    <row r="3" spans="2:14" ht="21.75" thickBot="1" x14ac:dyDescent="0.4">
      <c r="B3" s="28" t="s">
        <v>54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30"/>
    </row>
    <row r="4" spans="2:14" x14ac:dyDescent="0.25"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8"/>
    </row>
    <row r="5" spans="2:14" x14ac:dyDescent="0.25"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8"/>
    </row>
    <row r="6" spans="2:14" x14ac:dyDescent="0.25"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8"/>
    </row>
    <row r="7" spans="2:14" x14ac:dyDescent="0.25"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8"/>
    </row>
    <row r="8" spans="2:14" x14ac:dyDescent="0.25"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8"/>
    </row>
    <row r="9" spans="2:14" x14ac:dyDescent="0.25"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8"/>
    </row>
    <row r="10" spans="2:14" x14ac:dyDescent="0.25"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8"/>
    </row>
    <row r="11" spans="2:14" x14ac:dyDescent="0.25"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8"/>
    </row>
    <row r="12" spans="2:14" x14ac:dyDescent="0.25"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8"/>
    </row>
    <row r="13" spans="2:14" x14ac:dyDescent="0.25"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8"/>
    </row>
    <row r="14" spans="2:14" x14ac:dyDescent="0.25">
      <c r="B14" s="6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8"/>
    </row>
    <row r="15" spans="2:14" x14ac:dyDescent="0.25">
      <c r="B15" s="6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8"/>
    </row>
    <row r="16" spans="2:14" x14ac:dyDescent="0.25">
      <c r="B16" s="6"/>
      <c r="C16" s="7"/>
      <c r="D16" s="7"/>
      <c r="E16" s="7"/>
      <c r="F16" s="7"/>
      <c r="G16" s="7"/>
      <c r="H16" s="7"/>
      <c r="I16" s="7"/>
      <c r="J16" s="7"/>
      <c r="K16" s="7"/>
      <c r="M16" s="7"/>
      <c r="N16" s="8"/>
    </row>
    <row r="17" spans="2:14" x14ac:dyDescent="0.25"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8"/>
    </row>
    <row r="18" spans="2:14" x14ac:dyDescent="0.25"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8"/>
    </row>
    <row r="19" spans="2:14" x14ac:dyDescent="0.25"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8"/>
    </row>
    <row r="20" spans="2:14" x14ac:dyDescent="0.25"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8"/>
    </row>
    <row r="21" spans="2:14" x14ac:dyDescent="0.25"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8"/>
    </row>
    <row r="22" spans="2:14" x14ac:dyDescent="0.25"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8"/>
    </row>
    <row r="23" spans="2:14" ht="15.75" thickBot="1" x14ac:dyDescent="0.3"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1"/>
    </row>
    <row r="24" spans="2:14" ht="15.75" thickBot="1" x14ac:dyDescent="0.3"/>
    <row r="25" spans="2:14" ht="21" x14ac:dyDescent="0.35">
      <c r="B25" s="12" t="s">
        <v>55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4"/>
    </row>
    <row r="26" spans="2:14" x14ac:dyDescent="0.25">
      <c r="B26" s="16" t="s">
        <v>56</v>
      </c>
      <c r="C26" s="16"/>
      <c r="D26" s="16"/>
      <c r="E26" s="16"/>
      <c r="F26" s="16"/>
      <c r="G26" s="16"/>
      <c r="H26" s="15" t="s">
        <v>58</v>
      </c>
      <c r="I26" s="17" t="s">
        <v>57</v>
      </c>
      <c r="J26" s="17"/>
      <c r="K26" s="17"/>
      <c r="L26" s="17"/>
      <c r="M26" s="17"/>
      <c r="N26" s="17"/>
    </row>
    <row r="27" spans="2:14" x14ac:dyDescent="0.25">
      <c r="B27" s="16" t="s">
        <v>59</v>
      </c>
      <c r="C27" s="16"/>
      <c r="D27" s="16"/>
      <c r="E27" s="16"/>
      <c r="F27" s="16"/>
      <c r="G27" s="16"/>
      <c r="H27" s="15" t="s">
        <v>58</v>
      </c>
      <c r="I27" s="18" t="s">
        <v>60</v>
      </c>
      <c r="J27" s="18"/>
      <c r="K27" s="18"/>
      <c r="L27" s="18"/>
      <c r="M27" s="18"/>
      <c r="N27" s="18"/>
    </row>
    <row r="28" spans="2:14" x14ac:dyDescent="0.25">
      <c r="B28" s="16" t="s">
        <v>63</v>
      </c>
      <c r="C28" s="16"/>
      <c r="D28" s="16"/>
      <c r="E28" s="16"/>
      <c r="F28" s="16"/>
      <c r="G28" s="16"/>
      <c r="H28" s="15" t="s">
        <v>58</v>
      </c>
      <c r="I28" s="19" t="s">
        <v>61</v>
      </c>
      <c r="J28" s="19"/>
      <c r="K28" s="19"/>
      <c r="L28" s="19"/>
      <c r="M28" s="19"/>
      <c r="N28" s="19"/>
    </row>
    <row r="29" spans="2:14" x14ac:dyDescent="0.25">
      <c r="B29" s="16" t="s">
        <v>64</v>
      </c>
      <c r="C29" s="16"/>
      <c r="D29" s="16"/>
      <c r="E29" s="16"/>
      <c r="F29" s="16"/>
      <c r="G29" s="16"/>
      <c r="H29" s="15" t="s">
        <v>58</v>
      </c>
      <c r="I29" s="20" t="s">
        <v>62</v>
      </c>
      <c r="J29" s="20"/>
      <c r="K29" s="20"/>
      <c r="L29" s="20"/>
      <c r="M29" s="20"/>
      <c r="N29" s="20"/>
    </row>
    <row r="30" spans="2:14" ht="15.75" thickBot="1" x14ac:dyDescent="0.3"/>
    <row r="31" spans="2:14" ht="21.75" thickBot="1" x14ac:dyDescent="0.4">
      <c r="B31" s="28" t="s">
        <v>79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30"/>
    </row>
    <row r="32" spans="2:14" x14ac:dyDescent="0.25"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8"/>
    </row>
    <row r="33" spans="2:14" x14ac:dyDescent="0.25">
      <c r="B33" s="6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8"/>
    </row>
    <row r="34" spans="2:14" x14ac:dyDescent="0.25">
      <c r="B34" s="6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8"/>
    </row>
    <row r="35" spans="2:14" x14ac:dyDescent="0.25">
      <c r="B35" s="6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8"/>
    </row>
    <row r="36" spans="2:14" x14ac:dyDescent="0.25">
      <c r="B36" s="6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8"/>
    </row>
    <row r="37" spans="2:14" x14ac:dyDescent="0.25">
      <c r="B37" s="6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8"/>
    </row>
    <row r="38" spans="2:14" x14ac:dyDescent="0.25"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8"/>
    </row>
    <row r="39" spans="2:14" x14ac:dyDescent="0.25"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8"/>
    </row>
    <row r="40" spans="2:14" x14ac:dyDescent="0.25"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8"/>
    </row>
    <row r="41" spans="2:14" x14ac:dyDescent="0.25"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8"/>
    </row>
    <row r="42" spans="2:14" x14ac:dyDescent="0.25"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8"/>
    </row>
    <row r="43" spans="2:14" x14ac:dyDescent="0.25"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8"/>
    </row>
    <row r="44" spans="2:14" x14ac:dyDescent="0.25">
      <c r="B44" s="6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8"/>
    </row>
    <row r="45" spans="2:14" ht="15.75" thickBot="1" x14ac:dyDescent="0.3"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1"/>
    </row>
  </sheetData>
  <mergeCells count="11">
    <mergeCell ref="B26:G26"/>
    <mergeCell ref="B29:G29"/>
    <mergeCell ref="B28:G28"/>
    <mergeCell ref="B27:G27"/>
    <mergeCell ref="B31:N31"/>
    <mergeCell ref="I28:N28"/>
    <mergeCell ref="I29:N29"/>
    <mergeCell ref="B3:N3"/>
    <mergeCell ref="B25:N25"/>
    <mergeCell ref="I26:N26"/>
    <mergeCell ref="I27:N27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54B92-2440-4BB7-A16F-EA9D28001E0B}">
  <dimension ref="A1:Q101"/>
  <sheetViews>
    <sheetView workbookViewId="0">
      <selection activeCell="G36" sqref="G36"/>
    </sheetView>
  </sheetViews>
  <sheetFormatPr defaultRowHeight="15" x14ac:dyDescent="0.25"/>
  <cols>
    <col min="1" max="1" width="13.85546875" style="1" bestFit="1" customWidth="1"/>
    <col min="2" max="2" width="22.5703125" style="5" bestFit="1" customWidth="1"/>
    <col min="3" max="3" width="14.5703125" style="5" bestFit="1" customWidth="1"/>
    <col min="4" max="4" width="12" style="5" bestFit="1" customWidth="1"/>
    <col min="5" max="5" width="14.5703125" style="5" bestFit="1" customWidth="1"/>
    <col min="6" max="6" width="12" style="5" bestFit="1" customWidth="1"/>
    <col min="7" max="7" width="13.7109375" style="4" bestFit="1" customWidth="1"/>
    <col min="8" max="8" width="16.5703125" style="3" bestFit="1" customWidth="1"/>
    <col min="9" max="9" width="14.5703125" style="3" bestFit="1" customWidth="1"/>
    <col min="10" max="10" width="12" style="2" bestFit="1" customWidth="1"/>
    <col min="11" max="11" width="25.140625" style="3" bestFit="1" customWidth="1"/>
    <col min="12" max="12" width="14.42578125" style="3" bestFit="1" customWidth="1"/>
    <col min="13" max="13" width="20" style="5" customWidth="1"/>
    <col min="14" max="14" width="16.85546875" style="5" bestFit="1" customWidth="1"/>
    <col min="15" max="15" width="23.7109375" style="5" bestFit="1" customWidth="1"/>
    <col min="16" max="16" width="16.85546875" style="5" bestFit="1" customWidth="1"/>
    <col min="17" max="17" width="23.7109375" style="5" bestFit="1" customWidth="1"/>
  </cols>
  <sheetData>
    <row r="1" spans="1:17" x14ac:dyDescent="0.25">
      <c r="A1" s="1" t="s">
        <v>0</v>
      </c>
      <c r="B1" t="s">
        <v>1</v>
      </c>
      <c r="C1" s="5" t="s">
        <v>36</v>
      </c>
      <c r="D1" s="5" t="s">
        <v>2</v>
      </c>
      <c r="E1" s="5" t="s">
        <v>3</v>
      </c>
      <c r="F1" s="5" t="s">
        <v>4</v>
      </c>
      <c r="G1" s="4" t="s">
        <v>5</v>
      </c>
      <c r="H1" t="s">
        <v>65</v>
      </c>
      <c r="I1" s="3" t="s">
        <v>6</v>
      </c>
      <c r="J1" s="2" t="s">
        <v>8</v>
      </c>
      <c r="K1" s="3" t="s">
        <v>66</v>
      </c>
      <c r="L1" s="3" t="s">
        <v>67</v>
      </c>
      <c r="M1" s="5" t="s">
        <v>7</v>
      </c>
      <c r="N1" s="5" t="s">
        <v>9</v>
      </c>
      <c r="O1" s="5" t="s">
        <v>10</v>
      </c>
      <c r="P1"/>
      <c r="Q1"/>
    </row>
    <row r="2" spans="1:17" x14ac:dyDescent="0.25">
      <c r="A2" s="1">
        <v>45983</v>
      </c>
      <c r="B2" s="21" t="s">
        <v>16</v>
      </c>
      <c r="C2" s="5" t="s">
        <v>37</v>
      </c>
      <c r="D2" s="5" t="s">
        <v>19</v>
      </c>
      <c r="E2" s="5" t="s">
        <v>20</v>
      </c>
      <c r="F2" s="5" t="s">
        <v>11</v>
      </c>
      <c r="G2" s="4">
        <v>2</v>
      </c>
      <c r="H2">
        <v>200</v>
      </c>
      <c r="I2" s="3">
        <v>400</v>
      </c>
      <c r="J2" s="2">
        <v>0.1</v>
      </c>
      <c r="K2" s="3">
        <v>40</v>
      </c>
      <c r="L2" s="3">
        <v>360</v>
      </c>
      <c r="M2" s="5" t="s">
        <v>38</v>
      </c>
      <c r="N2" s="5" t="s">
        <v>12</v>
      </c>
      <c r="O2" s="5" t="s">
        <v>13</v>
      </c>
      <c r="P2"/>
      <c r="Q2"/>
    </row>
    <row r="3" spans="1:17" x14ac:dyDescent="0.25">
      <c r="A3" s="1">
        <v>45961</v>
      </c>
      <c r="B3" s="21" t="s">
        <v>39</v>
      </c>
      <c r="C3" s="5" t="s">
        <v>40</v>
      </c>
      <c r="D3" s="5" t="s">
        <v>23</v>
      </c>
      <c r="E3" s="5" t="s">
        <v>20</v>
      </c>
      <c r="F3" s="5" t="s">
        <v>14</v>
      </c>
      <c r="G3" s="4">
        <v>3</v>
      </c>
      <c r="H3">
        <v>120</v>
      </c>
      <c r="I3" s="3">
        <v>360</v>
      </c>
      <c r="J3" s="2">
        <v>0.1</v>
      </c>
      <c r="K3" s="3">
        <v>36</v>
      </c>
      <c r="L3" s="3">
        <v>324</v>
      </c>
      <c r="M3" s="5" t="s">
        <v>38</v>
      </c>
      <c r="N3" s="5" t="s">
        <v>15</v>
      </c>
      <c r="O3" s="5" t="s">
        <v>41</v>
      </c>
      <c r="P3"/>
      <c r="Q3"/>
    </row>
    <row r="4" spans="1:17" x14ac:dyDescent="0.25">
      <c r="A4" s="1">
        <v>45930</v>
      </c>
      <c r="B4" s="21" t="s">
        <v>16</v>
      </c>
      <c r="C4" s="5" t="s">
        <v>40</v>
      </c>
      <c r="D4" s="5" t="s">
        <v>19</v>
      </c>
      <c r="E4" s="5" t="s">
        <v>20</v>
      </c>
      <c r="F4" s="5" t="s">
        <v>14</v>
      </c>
      <c r="G4" s="4">
        <v>2</v>
      </c>
      <c r="H4">
        <v>49.9</v>
      </c>
      <c r="I4" s="3">
        <v>99.8</v>
      </c>
      <c r="J4" s="2">
        <v>0.05</v>
      </c>
      <c r="K4" s="3">
        <v>4.99</v>
      </c>
      <c r="L4" s="3">
        <v>94.81</v>
      </c>
      <c r="M4" s="5" t="s">
        <v>38</v>
      </c>
      <c r="N4" s="5" t="s">
        <v>15</v>
      </c>
      <c r="O4" s="5" t="s">
        <v>18</v>
      </c>
      <c r="P4"/>
      <c r="Q4"/>
    </row>
    <row r="5" spans="1:17" x14ac:dyDescent="0.25">
      <c r="A5" s="1">
        <v>45929</v>
      </c>
      <c r="B5" s="21" t="s">
        <v>30</v>
      </c>
      <c r="C5" s="5" t="s">
        <v>42</v>
      </c>
      <c r="D5" s="5" t="s">
        <v>19</v>
      </c>
      <c r="E5" s="5" t="s">
        <v>20</v>
      </c>
      <c r="F5" s="5" t="s">
        <v>21</v>
      </c>
      <c r="G5" s="4">
        <v>3</v>
      </c>
      <c r="H5">
        <v>120</v>
      </c>
      <c r="I5" s="3">
        <v>360</v>
      </c>
      <c r="J5" s="2">
        <v>0.05</v>
      </c>
      <c r="K5" s="3">
        <v>18</v>
      </c>
      <c r="L5" s="3">
        <v>342</v>
      </c>
      <c r="M5" s="5" t="s">
        <v>38</v>
      </c>
      <c r="N5" s="5" t="s">
        <v>22</v>
      </c>
      <c r="O5" s="5" t="s">
        <v>41</v>
      </c>
      <c r="P5"/>
      <c r="Q5"/>
    </row>
    <row r="6" spans="1:17" x14ac:dyDescent="0.25">
      <c r="A6" s="1">
        <v>45939</v>
      </c>
      <c r="B6" s="21" t="s">
        <v>43</v>
      </c>
      <c r="C6" s="5" t="s">
        <v>42</v>
      </c>
      <c r="D6" s="5" t="s">
        <v>17</v>
      </c>
      <c r="E6" s="5" t="s">
        <v>28</v>
      </c>
      <c r="F6" s="5" t="s">
        <v>24</v>
      </c>
      <c r="G6" s="4">
        <v>3</v>
      </c>
      <c r="H6">
        <v>49.9</v>
      </c>
      <c r="I6" s="3">
        <v>149.69999999999999</v>
      </c>
      <c r="J6" s="2">
        <v>0.05</v>
      </c>
      <c r="K6" s="3">
        <v>7.4850000000000003</v>
      </c>
      <c r="L6" s="3">
        <v>142.215</v>
      </c>
      <c r="M6" s="5" t="s">
        <v>25</v>
      </c>
      <c r="N6" s="5" t="s">
        <v>12</v>
      </c>
      <c r="O6" s="5" t="s">
        <v>18</v>
      </c>
      <c r="P6"/>
      <c r="Q6"/>
    </row>
    <row r="7" spans="1:17" x14ac:dyDescent="0.25">
      <c r="A7" s="1">
        <v>45971</v>
      </c>
      <c r="B7" s="21" t="s">
        <v>35</v>
      </c>
      <c r="C7" s="5" t="s">
        <v>40</v>
      </c>
      <c r="D7" s="5" t="s">
        <v>17</v>
      </c>
      <c r="E7" s="5" t="s">
        <v>28</v>
      </c>
      <c r="F7" s="5" t="s">
        <v>21</v>
      </c>
      <c r="G7" s="4">
        <v>3</v>
      </c>
      <c r="H7">
        <v>49.9</v>
      </c>
      <c r="I7" s="3">
        <v>149.69999999999999</v>
      </c>
      <c r="J7" s="2">
        <v>0</v>
      </c>
      <c r="K7" s="3">
        <v>0</v>
      </c>
      <c r="L7" s="3">
        <v>149.69999999999999</v>
      </c>
      <c r="M7" s="5" t="s">
        <v>25</v>
      </c>
      <c r="N7" s="5" t="s">
        <v>26</v>
      </c>
      <c r="O7" s="5" t="s">
        <v>27</v>
      </c>
      <c r="P7"/>
      <c r="Q7"/>
    </row>
    <row r="8" spans="1:17" x14ac:dyDescent="0.25">
      <c r="A8" s="1">
        <v>45949</v>
      </c>
      <c r="B8" s="21" t="s">
        <v>16</v>
      </c>
      <c r="C8" s="5" t="s">
        <v>37</v>
      </c>
      <c r="D8" s="5" t="s">
        <v>19</v>
      </c>
      <c r="E8" s="5" t="s">
        <v>28</v>
      </c>
      <c r="F8" s="5" t="s">
        <v>21</v>
      </c>
      <c r="G8" s="4">
        <v>2</v>
      </c>
      <c r="H8">
        <v>120</v>
      </c>
      <c r="I8" s="3">
        <v>240</v>
      </c>
      <c r="J8" s="2">
        <v>0.05</v>
      </c>
      <c r="K8" s="3">
        <v>12</v>
      </c>
      <c r="L8" s="3">
        <v>228</v>
      </c>
      <c r="M8" s="5" t="s">
        <v>38</v>
      </c>
      <c r="N8" s="5" t="s">
        <v>41</v>
      </c>
      <c r="O8" s="5" t="s">
        <v>18</v>
      </c>
      <c r="P8"/>
      <c r="Q8"/>
    </row>
    <row r="9" spans="1:17" x14ac:dyDescent="0.25">
      <c r="A9" s="1">
        <v>45985</v>
      </c>
      <c r="B9" s="21" t="s">
        <v>30</v>
      </c>
      <c r="C9" s="5" t="s">
        <v>40</v>
      </c>
      <c r="D9" s="5" t="s">
        <v>19</v>
      </c>
      <c r="E9" s="5" t="s">
        <v>28</v>
      </c>
      <c r="F9" s="5" t="s">
        <v>21</v>
      </c>
      <c r="G9" s="4">
        <v>2</v>
      </c>
      <c r="H9">
        <v>49.9</v>
      </c>
      <c r="I9" s="3">
        <v>99.8</v>
      </c>
      <c r="J9" s="2">
        <v>0.1</v>
      </c>
      <c r="K9" s="3">
        <v>9.98</v>
      </c>
      <c r="L9" s="3">
        <v>89.82</v>
      </c>
      <c r="M9" s="5" t="s">
        <v>38</v>
      </c>
      <c r="N9" s="5" t="s">
        <v>22</v>
      </c>
      <c r="O9" s="5" t="s">
        <v>41</v>
      </c>
      <c r="P9"/>
      <c r="Q9"/>
    </row>
    <row r="10" spans="1:17" x14ac:dyDescent="0.25">
      <c r="A10" s="1">
        <v>45938</v>
      </c>
      <c r="B10" s="21" t="s">
        <v>30</v>
      </c>
      <c r="C10" s="5" t="s">
        <v>40</v>
      </c>
      <c r="D10" s="5" t="s">
        <v>19</v>
      </c>
      <c r="E10" s="5" t="s">
        <v>20</v>
      </c>
      <c r="F10" s="5" t="s">
        <v>11</v>
      </c>
      <c r="G10" s="4">
        <v>3</v>
      </c>
      <c r="H10">
        <v>199.99</v>
      </c>
      <c r="I10" s="3">
        <v>599.97</v>
      </c>
      <c r="J10" s="2">
        <v>0.05</v>
      </c>
      <c r="K10" s="3">
        <v>29.9985</v>
      </c>
      <c r="L10" s="3">
        <v>569.97149999999999</v>
      </c>
      <c r="M10" s="5" t="s">
        <v>25</v>
      </c>
      <c r="N10" s="5" t="s">
        <v>26</v>
      </c>
      <c r="O10" s="5" t="s">
        <v>27</v>
      </c>
      <c r="P10"/>
      <c r="Q10"/>
    </row>
    <row r="11" spans="1:17" x14ac:dyDescent="0.25">
      <c r="A11" s="1">
        <v>45978</v>
      </c>
      <c r="B11" s="21" t="s">
        <v>29</v>
      </c>
      <c r="C11" s="5" t="s">
        <v>40</v>
      </c>
      <c r="D11" s="5" t="s">
        <v>19</v>
      </c>
      <c r="E11" s="5" t="s">
        <v>20</v>
      </c>
      <c r="F11" s="5" t="s">
        <v>11</v>
      </c>
      <c r="G11" s="4">
        <v>2</v>
      </c>
      <c r="H11">
        <v>199.99</v>
      </c>
      <c r="I11" s="3">
        <v>399.98</v>
      </c>
      <c r="J11" s="2">
        <v>0.1</v>
      </c>
      <c r="K11" s="3">
        <v>39.997999999999998</v>
      </c>
      <c r="L11" s="3">
        <v>359.98200000000003</v>
      </c>
      <c r="M11" s="5" t="s">
        <v>44</v>
      </c>
      <c r="N11" s="5" t="s">
        <v>22</v>
      </c>
      <c r="O11" s="5" t="s">
        <v>41</v>
      </c>
      <c r="P11"/>
      <c r="Q11"/>
    </row>
    <row r="12" spans="1:17" x14ac:dyDescent="0.25">
      <c r="A12" s="1">
        <v>46009</v>
      </c>
      <c r="B12" s="21" t="s">
        <v>30</v>
      </c>
      <c r="C12" s="5" t="s">
        <v>45</v>
      </c>
      <c r="D12" s="5" t="s">
        <v>19</v>
      </c>
      <c r="E12" s="5" t="s">
        <v>28</v>
      </c>
      <c r="F12" s="5" t="s">
        <v>14</v>
      </c>
      <c r="G12" s="4">
        <v>3</v>
      </c>
      <c r="H12">
        <v>120</v>
      </c>
      <c r="I12" s="3">
        <v>360</v>
      </c>
      <c r="J12" s="2">
        <v>0.1</v>
      </c>
      <c r="K12" s="3">
        <v>36</v>
      </c>
      <c r="L12" s="3">
        <v>324</v>
      </c>
      <c r="M12" s="5" t="s">
        <v>38</v>
      </c>
      <c r="N12" s="5" t="s">
        <v>22</v>
      </c>
      <c r="O12" s="5" t="s">
        <v>18</v>
      </c>
      <c r="P12"/>
      <c r="Q12"/>
    </row>
    <row r="13" spans="1:17" x14ac:dyDescent="0.25">
      <c r="A13" s="1">
        <v>45966</v>
      </c>
      <c r="B13" s="21" t="s">
        <v>46</v>
      </c>
      <c r="C13" s="5" t="s">
        <v>40</v>
      </c>
      <c r="D13" s="5" t="s">
        <v>17</v>
      </c>
      <c r="E13" s="5" t="s">
        <v>20</v>
      </c>
      <c r="F13" s="5" t="s">
        <v>21</v>
      </c>
      <c r="G13" s="4">
        <v>3</v>
      </c>
      <c r="H13">
        <v>49.9</v>
      </c>
      <c r="I13" s="3">
        <v>149.69999999999999</v>
      </c>
      <c r="J13" s="2">
        <v>0</v>
      </c>
      <c r="K13" s="3">
        <v>0</v>
      </c>
      <c r="L13" s="3">
        <v>149.69999999999999</v>
      </c>
      <c r="M13" s="5" t="s">
        <v>25</v>
      </c>
      <c r="N13" s="5" t="s">
        <v>41</v>
      </c>
      <c r="O13" s="5" t="s">
        <v>41</v>
      </c>
      <c r="P13"/>
      <c r="Q13"/>
    </row>
    <row r="14" spans="1:17" x14ac:dyDescent="0.25">
      <c r="A14" s="1">
        <v>45956</v>
      </c>
      <c r="B14" s="21" t="s">
        <v>39</v>
      </c>
      <c r="C14" s="5" t="s">
        <v>40</v>
      </c>
      <c r="D14" s="5" t="s">
        <v>23</v>
      </c>
      <c r="E14" s="5" t="s">
        <v>20</v>
      </c>
      <c r="F14" s="5" t="s">
        <v>11</v>
      </c>
      <c r="G14" s="4">
        <v>2</v>
      </c>
      <c r="H14">
        <v>200</v>
      </c>
      <c r="I14" s="3">
        <v>400</v>
      </c>
      <c r="J14" s="2">
        <v>0.1</v>
      </c>
      <c r="K14" s="3">
        <v>40</v>
      </c>
      <c r="L14" s="3">
        <v>360</v>
      </c>
      <c r="M14" s="5" t="s">
        <v>38</v>
      </c>
      <c r="N14" s="5" t="s">
        <v>22</v>
      </c>
      <c r="O14" s="5" t="s">
        <v>27</v>
      </c>
      <c r="P14"/>
      <c r="Q14"/>
    </row>
    <row r="15" spans="1:17" x14ac:dyDescent="0.25">
      <c r="A15" s="1">
        <v>45947</v>
      </c>
      <c r="B15" s="21" t="s">
        <v>30</v>
      </c>
      <c r="C15" s="5" t="s">
        <v>37</v>
      </c>
      <c r="D15" s="5" t="s">
        <v>19</v>
      </c>
      <c r="E15" s="5" t="s">
        <v>28</v>
      </c>
      <c r="F15" s="5" t="s">
        <v>21</v>
      </c>
      <c r="G15" s="4">
        <v>2</v>
      </c>
      <c r="H15">
        <v>49.9</v>
      </c>
      <c r="I15" s="3">
        <v>99.8</v>
      </c>
      <c r="J15" s="2">
        <v>0.1</v>
      </c>
      <c r="K15" s="3">
        <v>9.98</v>
      </c>
      <c r="L15" s="3">
        <v>89.82</v>
      </c>
      <c r="M15" s="5" t="s">
        <v>38</v>
      </c>
      <c r="N15" s="5" t="s">
        <v>12</v>
      </c>
      <c r="O15" s="5" t="s">
        <v>18</v>
      </c>
      <c r="P15"/>
      <c r="Q15"/>
    </row>
    <row r="16" spans="1:17" x14ac:dyDescent="0.25">
      <c r="A16" s="1">
        <v>45984</v>
      </c>
      <c r="B16" s="21" t="s">
        <v>30</v>
      </c>
      <c r="C16" s="5" t="s">
        <v>37</v>
      </c>
      <c r="D16" s="5" t="s">
        <v>19</v>
      </c>
      <c r="E16" s="5" t="s">
        <v>41</v>
      </c>
      <c r="F16" s="5" t="s">
        <v>11</v>
      </c>
      <c r="G16" s="4">
        <v>3</v>
      </c>
      <c r="H16">
        <v>199.99</v>
      </c>
      <c r="I16" s="3">
        <v>599.97</v>
      </c>
      <c r="J16" s="2">
        <v>0.1</v>
      </c>
      <c r="K16" s="3">
        <v>59.997</v>
      </c>
      <c r="L16" s="3">
        <v>539.97299999999996</v>
      </c>
      <c r="M16" s="5" t="s">
        <v>38</v>
      </c>
      <c r="N16" s="5" t="s">
        <v>12</v>
      </c>
      <c r="O16" s="5" t="s">
        <v>41</v>
      </c>
      <c r="P16"/>
      <c r="Q16"/>
    </row>
    <row r="17" spans="1:17" x14ac:dyDescent="0.25">
      <c r="A17" s="1">
        <v>45964</v>
      </c>
      <c r="B17" s="21" t="s">
        <v>47</v>
      </c>
      <c r="C17" s="5" t="s">
        <v>40</v>
      </c>
      <c r="D17" s="5" t="s">
        <v>17</v>
      </c>
      <c r="E17" s="5" t="s">
        <v>28</v>
      </c>
      <c r="F17" s="5" t="s">
        <v>21</v>
      </c>
      <c r="G17" s="4">
        <v>1</v>
      </c>
      <c r="H17">
        <v>49.9</v>
      </c>
      <c r="I17" s="3">
        <v>49.9</v>
      </c>
      <c r="J17" s="2">
        <v>0.1</v>
      </c>
      <c r="K17" s="3">
        <v>4.99</v>
      </c>
      <c r="L17" s="3">
        <v>44.91</v>
      </c>
      <c r="M17" s="5" t="s">
        <v>38</v>
      </c>
      <c r="N17" s="5" t="s">
        <v>41</v>
      </c>
      <c r="O17" s="5" t="s">
        <v>41</v>
      </c>
      <c r="P17"/>
      <c r="Q17"/>
    </row>
    <row r="18" spans="1:17" x14ac:dyDescent="0.25">
      <c r="A18" s="1">
        <v>45973</v>
      </c>
      <c r="B18" s="21" t="s">
        <v>48</v>
      </c>
      <c r="C18" s="5" t="s">
        <v>40</v>
      </c>
      <c r="D18" s="5" t="s">
        <v>23</v>
      </c>
      <c r="E18" s="5" t="s">
        <v>20</v>
      </c>
      <c r="F18" s="5" t="s">
        <v>11</v>
      </c>
      <c r="G18" s="4">
        <v>2</v>
      </c>
      <c r="H18">
        <v>199.99</v>
      </c>
      <c r="I18" s="3">
        <v>399.98</v>
      </c>
      <c r="J18" s="2">
        <v>0.1</v>
      </c>
      <c r="K18" s="3">
        <v>39.997999999999998</v>
      </c>
      <c r="L18" s="3">
        <v>359.98200000000003</v>
      </c>
      <c r="M18" s="5" t="s">
        <v>38</v>
      </c>
      <c r="N18" s="5" t="s">
        <v>22</v>
      </c>
      <c r="O18" s="5" t="s">
        <v>13</v>
      </c>
      <c r="P18"/>
      <c r="Q18"/>
    </row>
    <row r="19" spans="1:17" x14ac:dyDescent="0.25">
      <c r="A19" s="1">
        <v>45978</v>
      </c>
      <c r="B19" s="21" t="s">
        <v>43</v>
      </c>
      <c r="C19" s="5" t="s">
        <v>45</v>
      </c>
      <c r="D19" s="5" t="s">
        <v>17</v>
      </c>
      <c r="E19" s="5" t="s">
        <v>41</v>
      </c>
      <c r="F19" s="5" t="s">
        <v>14</v>
      </c>
      <c r="G19" s="4">
        <v>2</v>
      </c>
      <c r="H19">
        <v>49.9</v>
      </c>
      <c r="I19" s="3">
        <v>99.8</v>
      </c>
      <c r="J19" s="2">
        <v>0.05</v>
      </c>
      <c r="K19" s="3">
        <v>4.99</v>
      </c>
      <c r="L19" s="3">
        <v>94.81</v>
      </c>
      <c r="M19" s="5" t="s">
        <v>25</v>
      </c>
      <c r="N19" s="5" t="s">
        <v>41</v>
      </c>
      <c r="O19" s="5" t="s">
        <v>41</v>
      </c>
      <c r="P19"/>
      <c r="Q19"/>
    </row>
    <row r="20" spans="1:17" x14ac:dyDescent="0.25">
      <c r="A20" s="1">
        <v>45987</v>
      </c>
      <c r="B20" s="21" t="s">
        <v>16</v>
      </c>
      <c r="C20" s="5" t="s">
        <v>37</v>
      </c>
      <c r="D20" s="5" t="s">
        <v>19</v>
      </c>
      <c r="E20" s="5" t="s">
        <v>20</v>
      </c>
      <c r="F20" s="5" t="s">
        <v>14</v>
      </c>
      <c r="G20" s="4">
        <v>3</v>
      </c>
      <c r="H20">
        <v>200</v>
      </c>
      <c r="I20" s="3">
        <v>600</v>
      </c>
      <c r="J20" s="2">
        <v>0.1</v>
      </c>
      <c r="K20" s="3">
        <v>60</v>
      </c>
      <c r="L20" s="3">
        <v>540</v>
      </c>
      <c r="M20" s="5" t="s">
        <v>38</v>
      </c>
      <c r="N20" s="5" t="s">
        <v>41</v>
      </c>
      <c r="O20" s="5" t="s">
        <v>41</v>
      </c>
      <c r="P20"/>
      <c r="Q20"/>
    </row>
    <row r="21" spans="1:17" x14ac:dyDescent="0.25">
      <c r="A21" s="1">
        <v>46002</v>
      </c>
      <c r="B21" s="21" t="s">
        <v>30</v>
      </c>
      <c r="C21" s="5" t="s">
        <v>45</v>
      </c>
      <c r="D21" s="5" t="s">
        <v>19</v>
      </c>
      <c r="E21" s="5" t="s">
        <v>20</v>
      </c>
      <c r="F21" s="5" t="s">
        <v>21</v>
      </c>
      <c r="G21" s="4">
        <v>2</v>
      </c>
      <c r="H21">
        <v>49.9</v>
      </c>
      <c r="I21" s="3">
        <v>99.8</v>
      </c>
      <c r="J21" s="2">
        <v>0.1</v>
      </c>
      <c r="K21" s="3">
        <v>9.98</v>
      </c>
      <c r="L21" s="3">
        <v>89.82</v>
      </c>
      <c r="M21" s="5" t="s">
        <v>25</v>
      </c>
      <c r="N21" s="5" t="s">
        <v>41</v>
      </c>
      <c r="O21" s="5" t="s">
        <v>13</v>
      </c>
      <c r="P21"/>
      <c r="Q21"/>
    </row>
    <row r="22" spans="1:17" x14ac:dyDescent="0.25">
      <c r="A22" s="1">
        <v>45937</v>
      </c>
      <c r="B22" s="21" t="s">
        <v>32</v>
      </c>
      <c r="C22" s="5" t="s">
        <v>40</v>
      </c>
      <c r="D22" s="5" t="s">
        <v>19</v>
      </c>
      <c r="E22" s="5" t="s">
        <v>28</v>
      </c>
      <c r="F22" s="5" t="s">
        <v>14</v>
      </c>
      <c r="G22" s="4">
        <v>3</v>
      </c>
      <c r="H22">
        <v>120</v>
      </c>
      <c r="I22" s="3">
        <v>360</v>
      </c>
      <c r="J22" s="2">
        <v>0.1</v>
      </c>
      <c r="K22" s="3">
        <v>36</v>
      </c>
      <c r="L22" s="3">
        <v>324</v>
      </c>
      <c r="M22" s="5" t="s">
        <v>25</v>
      </c>
      <c r="N22" s="5" t="s">
        <v>26</v>
      </c>
      <c r="O22" s="5" t="s">
        <v>41</v>
      </c>
      <c r="P22"/>
      <c r="Q22"/>
    </row>
    <row r="23" spans="1:17" x14ac:dyDescent="0.25">
      <c r="A23" s="1">
        <v>45962</v>
      </c>
      <c r="B23" s="21" t="s">
        <v>33</v>
      </c>
      <c r="C23" s="5" t="s">
        <v>40</v>
      </c>
      <c r="D23" s="5" t="s">
        <v>17</v>
      </c>
      <c r="E23" s="5" t="s">
        <v>20</v>
      </c>
      <c r="F23" s="5" t="s">
        <v>14</v>
      </c>
      <c r="G23" s="4">
        <v>3</v>
      </c>
      <c r="H23">
        <v>49.9</v>
      </c>
      <c r="I23" s="3">
        <v>149.69999999999999</v>
      </c>
      <c r="J23" s="2">
        <v>0.1</v>
      </c>
      <c r="K23" s="3">
        <v>14.97</v>
      </c>
      <c r="L23" s="3">
        <v>134.72999999999999</v>
      </c>
      <c r="M23" s="5" t="s">
        <v>38</v>
      </c>
      <c r="N23" s="5" t="s">
        <v>12</v>
      </c>
      <c r="O23" s="5" t="s">
        <v>13</v>
      </c>
      <c r="P23"/>
      <c r="Q23"/>
    </row>
    <row r="24" spans="1:17" x14ac:dyDescent="0.25">
      <c r="A24" s="1">
        <v>45982</v>
      </c>
      <c r="B24" s="21" t="s">
        <v>49</v>
      </c>
      <c r="C24" s="5" t="s">
        <v>40</v>
      </c>
      <c r="D24" s="5" t="s">
        <v>19</v>
      </c>
      <c r="E24" s="5" t="s">
        <v>20</v>
      </c>
      <c r="F24" s="5" t="s">
        <v>11</v>
      </c>
      <c r="G24" s="4">
        <v>3</v>
      </c>
      <c r="H24">
        <v>200</v>
      </c>
      <c r="I24" s="3">
        <v>600</v>
      </c>
      <c r="J24" s="2">
        <v>0.05</v>
      </c>
      <c r="K24" s="3">
        <v>30</v>
      </c>
      <c r="L24" s="3">
        <v>570</v>
      </c>
      <c r="M24" s="5" t="s">
        <v>25</v>
      </c>
      <c r="N24" s="5" t="s">
        <v>12</v>
      </c>
      <c r="O24" s="5" t="s">
        <v>13</v>
      </c>
      <c r="P24"/>
      <c r="Q24"/>
    </row>
    <row r="25" spans="1:17" x14ac:dyDescent="0.25">
      <c r="A25" s="1">
        <v>45937</v>
      </c>
      <c r="B25" s="21" t="s">
        <v>47</v>
      </c>
      <c r="C25" s="5" t="s">
        <v>40</v>
      </c>
      <c r="D25" s="5" t="s">
        <v>17</v>
      </c>
      <c r="E25" s="5" t="s">
        <v>20</v>
      </c>
      <c r="F25" s="5" t="s">
        <v>14</v>
      </c>
      <c r="G25" s="4">
        <v>2</v>
      </c>
      <c r="H25">
        <v>120</v>
      </c>
      <c r="I25" s="3">
        <v>240</v>
      </c>
      <c r="J25" s="2">
        <v>0.05</v>
      </c>
      <c r="K25" s="3">
        <v>12</v>
      </c>
      <c r="L25" s="3">
        <v>228</v>
      </c>
      <c r="M25" s="5" t="s">
        <v>38</v>
      </c>
      <c r="N25" s="5" t="s">
        <v>26</v>
      </c>
      <c r="O25" s="5" t="s">
        <v>18</v>
      </c>
      <c r="P25"/>
      <c r="Q25"/>
    </row>
    <row r="26" spans="1:17" x14ac:dyDescent="0.25">
      <c r="A26" s="1">
        <v>46006</v>
      </c>
      <c r="B26" s="21" t="s">
        <v>33</v>
      </c>
      <c r="C26" s="5" t="s">
        <v>40</v>
      </c>
      <c r="D26" s="5" t="s">
        <v>17</v>
      </c>
      <c r="E26" s="5" t="s">
        <v>28</v>
      </c>
      <c r="F26" s="5" t="s">
        <v>21</v>
      </c>
      <c r="G26" s="4">
        <v>2</v>
      </c>
      <c r="H26">
        <v>120</v>
      </c>
      <c r="I26" s="3">
        <v>240</v>
      </c>
      <c r="J26" s="2">
        <v>0.1</v>
      </c>
      <c r="K26" s="3">
        <v>24</v>
      </c>
      <c r="L26" s="3">
        <v>216</v>
      </c>
      <c r="M26" s="5" t="s">
        <v>25</v>
      </c>
      <c r="N26" s="5" t="s">
        <v>15</v>
      </c>
      <c r="O26" s="5" t="s">
        <v>18</v>
      </c>
      <c r="P26"/>
      <c r="Q26"/>
    </row>
    <row r="27" spans="1:17" x14ac:dyDescent="0.25">
      <c r="A27" s="1">
        <v>45969</v>
      </c>
      <c r="B27" s="21" t="s">
        <v>34</v>
      </c>
      <c r="C27" s="5" t="s">
        <v>40</v>
      </c>
      <c r="D27" s="5" t="s">
        <v>23</v>
      </c>
      <c r="E27" s="5" t="s">
        <v>41</v>
      </c>
      <c r="F27" s="5" t="s">
        <v>21</v>
      </c>
      <c r="G27" s="4">
        <v>3</v>
      </c>
      <c r="H27">
        <v>199.99</v>
      </c>
      <c r="I27" s="3">
        <v>599.97</v>
      </c>
      <c r="J27" s="2">
        <v>0.1</v>
      </c>
      <c r="K27" s="3">
        <v>59.997</v>
      </c>
      <c r="L27" s="3">
        <v>539.97299999999996</v>
      </c>
      <c r="M27" s="5" t="s">
        <v>38</v>
      </c>
      <c r="N27" s="5" t="s">
        <v>26</v>
      </c>
      <c r="O27" s="5" t="s">
        <v>27</v>
      </c>
      <c r="P27"/>
      <c r="Q27"/>
    </row>
    <row r="28" spans="1:17" x14ac:dyDescent="0.25">
      <c r="A28" s="1">
        <v>45939</v>
      </c>
      <c r="B28" s="21" t="s">
        <v>33</v>
      </c>
      <c r="C28" s="5" t="s">
        <v>42</v>
      </c>
      <c r="D28" s="5" t="s">
        <v>17</v>
      </c>
      <c r="E28" s="5" t="s">
        <v>28</v>
      </c>
      <c r="F28" s="5" t="s">
        <v>21</v>
      </c>
      <c r="G28" s="4">
        <v>3</v>
      </c>
      <c r="H28">
        <v>120</v>
      </c>
      <c r="I28" s="3">
        <v>360</v>
      </c>
      <c r="J28" s="2">
        <v>0</v>
      </c>
      <c r="K28" s="3">
        <v>0</v>
      </c>
      <c r="L28" s="3">
        <v>360</v>
      </c>
      <c r="M28" s="5" t="s">
        <v>38</v>
      </c>
      <c r="N28" s="5" t="s">
        <v>12</v>
      </c>
      <c r="O28" s="5" t="s">
        <v>13</v>
      </c>
      <c r="P28"/>
      <c r="Q28"/>
    </row>
    <row r="29" spans="1:17" x14ac:dyDescent="0.25">
      <c r="A29" s="1">
        <v>45998</v>
      </c>
      <c r="B29" s="21" t="s">
        <v>39</v>
      </c>
      <c r="C29" s="5" t="s">
        <v>42</v>
      </c>
      <c r="D29" s="5" t="s">
        <v>23</v>
      </c>
      <c r="E29" s="5" t="s">
        <v>28</v>
      </c>
      <c r="F29" s="5" t="s">
        <v>21</v>
      </c>
      <c r="G29" s="4">
        <v>1</v>
      </c>
      <c r="H29">
        <v>120</v>
      </c>
      <c r="I29" s="3">
        <v>120</v>
      </c>
      <c r="J29" s="2">
        <v>0.1</v>
      </c>
      <c r="K29" s="3">
        <v>12</v>
      </c>
      <c r="L29" s="3">
        <v>108</v>
      </c>
      <c r="M29" s="5" t="s">
        <v>25</v>
      </c>
      <c r="N29" s="5" t="s">
        <v>26</v>
      </c>
      <c r="O29" s="5" t="s">
        <v>13</v>
      </c>
      <c r="P29"/>
      <c r="Q29"/>
    </row>
    <row r="30" spans="1:17" x14ac:dyDescent="0.25">
      <c r="A30" s="1">
        <v>45981</v>
      </c>
      <c r="B30" s="21" t="s">
        <v>34</v>
      </c>
      <c r="C30" s="5" t="s">
        <v>40</v>
      </c>
      <c r="D30" s="5" t="s">
        <v>23</v>
      </c>
      <c r="E30" s="5" t="s">
        <v>20</v>
      </c>
      <c r="F30" s="5" t="s">
        <v>11</v>
      </c>
      <c r="G30" s="4">
        <v>3</v>
      </c>
      <c r="H30">
        <v>49.9</v>
      </c>
      <c r="I30" s="3">
        <v>149.69999999999999</v>
      </c>
      <c r="J30" s="2">
        <v>0.05</v>
      </c>
      <c r="K30" s="3">
        <v>7.4850000000000003</v>
      </c>
      <c r="L30" s="3">
        <v>142.215</v>
      </c>
      <c r="M30" s="5" t="s">
        <v>25</v>
      </c>
      <c r="N30" s="5" t="s">
        <v>41</v>
      </c>
      <c r="O30" s="5" t="s">
        <v>41</v>
      </c>
      <c r="P30"/>
      <c r="Q30"/>
    </row>
    <row r="31" spans="1:17" x14ac:dyDescent="0.25">
      <c r="A31" s="1">
        <v>46006</v>
      </c>
      <c r="B31" s="21" t="s">
        <v>16</v>
      </c>
      <c r="C31" s="5" t="s">
        <v>37</v>
      </c>
      <c r="D31" s="5" t="s">
        <v>19</v>
      </c>
      <c r="E31" s="5" t="s">
        <v>28</v>
      </c>
      <c r="F31" s="5" t="s">
        <v>24</v>
      </c>
      <c r="G31" s="4">
        <v>3</v>
      </c>
      <c r="H31">
        <v>49.9</v>
      </c>
      <c r="I31" s="3">
        <v>149.69999999999999</v>
      </c>
      <c r="J31" s="2">
        <v>0</v>
      </c>
      <c r="K31" s="3">
        <v>0</v>
      </c>
      <c r="L31" s="3">
        <v>149.69999999999999</v>
      </c>
      <c r="M31" s="5" t="s">
        <v>25</v>
      </c>
      <c r="N31" s="5" t="s">
        <v>41</v>
      </c>
      <c r="O31" s="5" t="s">
        <v>18</v>
      </c>
      <c r="P31"/>
      <c r="Q31"/>
    </row>
    <row r="32" spans="1:17" x14ac:dyDescent="0.25">
      <c r="A32" s="1">
        <v>45972</v>
      </c>
      <c r="B32" s="21" t="s">
        <v>16</v>
      </c>
      <c r="C32" s="5" t="s">
        <v>40</v>
      </c>
      <c r="D32" s="5" t="s">
        <v>19</v>
      </c>
      <c r="E32" s="5" t="s">
        <v>28</v>
      </c>
      <c r="F32" s="5" t="s">
        <v>11</v>
      </c>
      <c r="G32" s="4">
        <v>2</v>
      </c>
      <c r="H32">
        <v>49.9</v>
      </c>
      <c r="I32" s="3">
        <v>99.8</v>
      </c>
      <c r="J32" s="2">
        <v>0.05</v>
      </c>
      <c r="K32" s="3">
        <v>4.99</v>
      </c>
      <c r="L32" s="3">
        <v>94.81</v>
      </c>
      <c r="M32" s="5" t="s">
        <v>38</v>
      </c>
      <c r="N32" s="5" t="s">
        <v>26</v>
      </c>
      <c r="O32" s="5" t="s">
        <v>18</v>
      </c>
      <c r="P32"/>
      <c r="Q32"/>
    </row>
    <row r="33" spans="1:17" x14ac:dyDescent="0.25">
      <c r="A33" s="1">
        <v>45944</v>
      </c>
      <c r="B33" s="21" t="s">
        <v>29</v>
      </c>
      <c r="C33" s="5" t="s">
        <v>40</v>
      </c>
      <c r="D33" s="5" t="s">
        <v>19</v>
      </c>
      <c r="E33" s="5" t="s">
        <v>20</v>
      </c>
      <c r="F33" s="5" t="s">
        <v>21</v>
      </c>
      <c r="G33" s="4">
        <v>2</v>
      </c>
      <c r="H33">
        <v>120</v>
      </c>
      <c r="I33" s="3">
        <v>240</v>
      </c>
      <c r="J33" s="2">
        <v>0</v>
      </c>
      <c r="K33" s="3">
        <v>0</v>
      </c>
      <c r="L33" s="3">
        <v>240</v>
      </c>
      <c r="M33" s="5" t="s">
        <v>38</v>
      </c>
      <c r="N33" s="5" t="s">
        <v>15</v>
      </c>
      <c r="O33" s="5" t="s">
        <v>41</v>
      </c>
      <c r="P33"/>
      <c r="Q33"/>
    </row>
    <row r="34" spans="1:17" x14ac:dyDescent="0.25">
      <c r="A34" s="1">
        <v>45996</v>
      </c>
      <c r="B34" s="21" t="s">
        <v>50</v>
      </c>
      <c r="C34" s="5" t="s">
        <v>40</v>
      </c>
      <c r="D34" s="5" t="s">
        <v>19</v>
      </c>
      <c r="E34" s="5" t="s">
        <v>20</v>
      </c>
      <c r="F34" s="5" t="s">
        <v>11</v>
      </c>
      <c r="G34" s="4">
        <v>3</v>
      </c>
      <c r="H34">
        <v>120</v>
      </c>
      <c r="I34" s="3">
        <v>360</v>
      </c>
      <c r="J34" s="2">
        <v>0</v>
      </c>
      <c r="K34" s="3">
        <v>0</v>
      </c>
      <c r="L34" s="3">
        <v>360</v>
      </c>
      <c r="M34" s="5" t="s">
        <v>25</v>
      </c>
      <c r="N34" s="5" t="s">
        <v>15</v>
      </c>
      <c r="O34" s="5" t="s">
        <v>41</v>
      </c>
      <c r="P34"/>
      <c r="Q34"/>
    </row>
    <row r="35" spans="1:17" x14ac:dyDescent="0.25">
      <c r="A35" s="1">
        <v>45969</v>
      </c>
      <c r="B35" s="21" t="s">
        <v>39</v>
      </c>
      <c r="C35" s="5" t="s">
        <v>40</v>
      </c>
      <c r="D35" s="5" t="s">
        <v>23</v>
      </c>
      <c r="E35" s="5" t="s">
        <v>28</v>
      </c>
      <c r="F35" s="5" t="s">
        <v>21</v>
      </c>
      <c r="G35" s="4">
        <v>3</v>
      </c>
      <c r="H35">
        <v>199.99</v>
      </c>
      <c r="I35" s="3">
        <v>599.97</v>
      </c>
      <c r="J35" s="2">
        <v>0.1</v>
      </c>
      <c r="K35" s="3">
        <v>59.997</v>
      </c>
      <c r="L35" s="3">
        <v>539.97299999999996</v>
      </c>
      <c r="M35" s="5" t="s">
        <v>25</v>
      </c>
      <c r="N35" s="5" t="s">
        <v>22</v>
      </c>
      <c r="O35" s="5" t="s">
        <v>13</v>
      </c>
      <c r="P35"/>
      <c r="Q35"/>
    </row>
    <row r="36" spans="1:17" x14ac:dyDescent="0.25">
      <c r="A36" s="1">
        <v>45990</v>
      </c>
      <c r="B36" s="21" t="s">
        <v>35</v>
      </c>
      <c r="C36" s="5" t="s">
        <v>40</v>
      </c>
      <c r="D36" s="5" t="s">
        <v>17</v>
      </c>
      <c r="E36" s="5" t="s">
        <v>20</v>
      </c>
      <c r="F36" s="5" t="s">
        <v>24</v>
      </c>
      <c r="G36" s="4">
        <v>1</v>
      </c>
      <c r="H36">
        <v>120</v>
      </c>
      <c r="I36" s="3">
        <v>120</v>
      </c>
      <c r="J36" s="2">
        <v>0</v>
      </c>
      <c r="K36" s="3">
        <v>0</v>
      </c>
      <c r="L36" s="3">
        <v>120</v>
      </c>
      <c r="M36" s="5" t="s">
        <v>25</v>
      </c>
      <c r="N36" s="5" t="s">
        <v>15</v>
      </c>
      <c r="O36" s="5" t="s">
        <v>13</v>
      </c>
      <c r="P36"/>
      <c r="Q36"/>
    </row>
    <row r="37" spans="1:17" x14ac:dyDescent="0.25">
      <c r="A37" s="1">
        <v>45939</v>
      </c>
      <c r="B37" s="21" t="s">
        <v>51</v>
      </c>
      <c r="C37" s="5" t="s">
        <v>40</v>
      </c>
      <c r="D37" s="5" t="s">
        <v>17</v>
      </c>
      <c r="E37" s="5" t="s">
        <v>28</v>
      </c>
      <c r="F37" s="5" t="s">
        <v>11</v>
      </c>
      <c r="G37" s="4">
        <v>2</v>
      </c>
      <c r="H37">
        <v>49.9</v>
      </c>
      <c r="I37" s="3">
        <v>99.8</v>
      </c>
      <c r="J37" s="2">
        <v>0.1</v>
      </c>
      <c r="K37" s="3">
        <v>9.98</v>
      </c>
      <c r="L37" s="3">
        <v>89.82</v>
      </c>
      <c r="M37" s="5" t="s">
        <v>38</v>
      </c>
      <c r="N37" s="5" t="s">
        <v>15</v>
      </c>
      <c r="O37" s="5" t="s">
        <v>13</v>
      </c>
      <c r="P37"/>
      <c r="Q37"/>
    </row>
    <row r="38" spans="1:17" x14ac:dyDescent="0.25">
      <c r="A38" s="1">
        <v>45982</v>
      </c>
      <c r="B38" s="21" t="s">
        <v>30</v>
      </c>
      <c r="C38" s="5" t="s">
        <v>42</v>
      </c>
      <c r="D38" s="5" t="s">
        <v>19</v>
      </c>
      <c r="E38" s="5" t="s">
        <v>20</v>
      </c>
      <c r="F38" s="5" t="s">
        <v>11</v>
      </c>
      <c r="G38" s="4">
        <v>2</v>
      </c>
      <c r="H38">
        <v>199.99</v>
      </c>
      <c r="I38" s="3">
        <v>399.98</v>
      </c>
      <c r="J38" s="2">
        <v>0.05</v>
      </c>
      <c r="K38" s="3">
        <v>19.998999999999999</v>
      </c>
      <c r="L38" s="3">
        <v>379.98099999999999</v>
      </c>
      <c r="M38" s="5" t="s">
        <v>38</v>
      </c>
      <c r="N38" s="5" t="s">
        <v>15</v>
      </c>
      <c r="O38" s="5" t="s">
        <v>41</v>
      </c>
      <c r="P38"/>
      <c r="Q38"/>
    </row>
    <row r="39" spans="1:17" x14ac:dyDescent="0.25">
      <c r="A39" s="1">
        <v>45938</v>
      </c>
      <c r="B39" s="21" t="s">
        <v>16</v>
      </c>
      <c r="C39" s="5" t="s">
        <v>40</v>
      </c>
      <c r="D39" s="5" t="s">
        <v>19</v>
      </c>
      <c r="E39" s="5" t="s">
        <v>41</v>
      </c>
      <c r="F39" s="5" t="s">
        <v>21</v>
      </c>
      <c r="G39" s="4">
        <v>3</v>
      </c>
      <c r="H39">
        <v>120</v>
      </c>
      <c r="I39" s="3">
        <v>360</v>
      </c>
      <c r="J39" s="2">
        <v>0.1</v>
      </c>
      <c r="K39" s="3">
        <v>36</v>
      </c>
      <c r="L39" s="3">
        <v>324</v>
      </c>
      <c r="M39" s="5" t="s">
        <v>25</v>
      </c>
      <c r="N39" s="5" t="s">
        <v>26</v>
      </c>
      <c r="O39" s="5" t="s">
        <v>41</v>
      </c>
      <c r="P39"/>
      <c r="Q39"/>
    </row>
    <row r="40" spans="1:17" x14ac:dyDescent="0.25">
      <c r="A40" s="1">
        <v>45943</v>
      </c>
      <c r="B40" s="21" t="s">
        <v>39</v>
      </c>
      <c r="C40" s="5" t="s">
        <v>37</v>
      </c>
      <c r="D40" s="5" t="s">
        <v>23</v>
      </c>
      <c r="E40" s="5" t="s">
        <v>41</v>
      </c>
      <c r="F40" s="5" t="s">
        <v>11</v>
      </c>
      <c r="G40" s="4">
        <v>2</v>
      </c>
      <c r="H40">
        <v>200</v>
      </c>
      <c r="I40" s="3">
        <v>400</v>
      </c>
      <c r="J40" s="2">
        <v>0</v>
      </c>
      <c r="K40" s="3">
        <v>0</v>
      </c>
      <c r="L40" s="3">
        <v>400</v>
      </c>
      <c r="M40" s="5" t="s">
        <v>25</v>
      </c>
      <c r="N40" s="5" t="s">
        <v>15</v>
      </c>
      <c r="O40" s="5" t="s">
        <v>41</v>
      </c>
      <c r="P40"/>
      <c r="Q40"/>
    </row>
    <row r="41" spans="1:17" x14ac:dyDescent="0.25">
      <c r="A41" s="1">
        <v>45962</v>
      </c>
      <c r="B41" s="21" t="s">
        <v>49</v>
      </c>
      <c r="C41" s="5" t="s">
        <v>40</v>
      </c>
      <c r="D41" s="5" t="s">
        <v>19</v>
      </c>
      <c r="E41" s="5" t="s">
        <v>28</v>
      </c>
      <c r="F41" s="5" t="s">
        <v>14</v>
      </c>
      <c r="G41" s="4">
        <v>3</v>
      </c>
      <c r="H41">
        <v>120</v>
      </c>
      <c r="I41" s="3">
        <v>360</v>
      </c>
      <c r="J41" s="2">
        <v>0</v>
      </c>
      <c r="K41" s="3">
        <v>0</v>
      </c>
      <c r="L41" s="3">
        <v>360</v>
      </c>
      <c r="M41" s="5" t="s">
        <v>25</v>
      </c>
      <c r="N41" s="5" t="s">
        <v>41</v>
      </c>
      <c r="O41" s="5" t="s">
        <v>41</v>
      </c>
      <c r="P41"/>
      <c r="Q41"/>
    </row>
    <row r="42" spans="1:17" x14ac:dyDescent="0.25">
      <c r="A42" s="1">
        <v>46006</v>
      </c>
      <c r="B42" s="21" t="s">
        <v>43</v>
      </c>
      <c r="C42" s="5" t="s">
        <v>45</v>
      </c>
      <c r="D42" s="5" t="s">
        <v>17</v>
      </c>
      <c r="E42" s="5" t="s">
        <v>41</v>
      </c>
      <c r="F42" s="5" t="s">
        <v>21</v>
      </c>
      <c r="G42" s="4">
        <v>3</v>
      </c>
      <c r="H42">
        <v>200</v>
      </c>
      <c r="I42" s="3">
        <v>600</v>
      </c>
      <c r="J42" s="2">
        <v>0</v>
      </c>
      <c r="K42" s="3">
        <v>0</v>
      </c>
      <c r="L42" s="3">
        <v>600</v>
      </c>
      <c r="M42" s="5" t="s">
        <v>44</v>
      </c>
      <c r="N42" s="5" t="s">
        <v>12</v>
      </c>
      <c r="O42" s="5" t="s">
        <v>41</v>
      </c>
      <c r="P42"/>
      <c r="Q42"/>
    </row>
    <row r="43" spans="1:17" x14ac:dyDescent="0.25">
      <c r="A43" s="1">
        <v>45988</v>
      </c>
      <c r="B43" s="21" t="s">
        <v>43</v>
      </c>
      <c r="C43" s="5" t="s">
        <v>37</v>
      </c>
      <c r="D43" s="5" t="s">
        <v>17</v>
      </c>
      <c r="E43" s="5" t="s">
        <v>41</v>
      </c>
      <c r="F43" s="5" t="s">
        <v>14</v>
      </c>
      <c r="G43" s="4">
        <v>2</v>
      </c>
      <c r="H43">
        <v>49.9</v>
      </c>
      <c r="I43" s="3">
        <v>99.8</v>
      </c>
      <c r="J43" s="2">
        <v>0</v>
      </c>
      <c r="K43" s="3">
        <v>0</v>
      </c>
      <c r="L43" s="3">
        <v>99.8</v>
      </c>
      <c r="M43" s="5" t="s">
        <v>38</v>
      </c>
      <c r="N43" s="5" t="s">
        <v>26</v>
      </c>
      <c r="O43" s="5" t="s">
        <v>41</v>
      </c>
      <c r="P43"/>
      <c r="Q43"/>
    </row>
    <row r="44" spans="1:17" x14ac:dyDescent="0.25">
      <c r="A44" s="1">
        <v>45967</v>
      </c>
      <c r="B44" s="21" t="s">
        <v>43</v>
      </c>
      <c r="C44" s="5" t="s">
        <v>42</v>
      </c>
      <c r="D44" s="5" t="s">
        <v>17</v>
      </c>
      <c r="E44" s="5" t="s">
        <v>28</v>
      </c>
      <c r="F44" s="5" t="s">
        <v>21</v>
      </c>
      <c r="G44" s="4">
        <v>1</v>
      </c>
      <c r="H44">
        <v>120</v>
      </c>
      <c r="I44" s="3">
        <v>120</v>
      </c>
      <c r="J44" s="2">
        <v>0.05</v>
      </c>
      <c r="K44" s="3">
        <v>6</v>
      </c>
      <c r="L44" s="3">
        <v>114</v>
      </c>
      <c r="M44" s="5" t="s">
        <v>38</v>
      </c>
      <c r="N44" s="5" t="s">
        <v>12</v>
      </c>
      <c r="O44" s="5" t="s">
        <v>27</v>
      </c>
      <c r="P44"/>
      <c r="Q44"/>
    </row>
    <row r="45" spans="1:17" x14ac:dyDescent="0.25">
      <c r="A45" s="1">
        <v>46008</v>
      </c>
      <c r="B45" s="21" t="s">
        <v>33</v>
      </c>
      <c r="C45" s="5" t="s">
        <v>40</v>
      </c>
      <c r="D45" s="5" t="s">
        <v>17</v>
      </c>
      <c r="E45" s="5" t="s">
        <v>20</v>
      </c>
      <c r="F45" s="5" t="s">
        <v>21</v>
      </c>
      <c r="G45" s="4">
        <v>2</v>
      </c>
      <c r="H45">
        <v>49.9</v>
      </c>
      <c r="I45" s="3">
        <v>99.8</v>
      </c>
      <c r="J45" s="2">
        <v>0.05</v>
      </c>
      <c r="K45" s="3">
        <v>4.99</v>
      </c>
      <c r="L45" s="3">
        <v>94.81</v>
      </c>
      <c r="M45" s="5" t="s">
        <v>25</v>
      </c>
      <c r="N45" s="5" t="s">
        <v>26</v>
      </c>
      <c r="O45" s="5" t="s">
        <v>41</v>
      </c>
      <c r="P45"/>
      <c r="Q45"/>
    </row>
    <row r="46" spans="1:17" x14ac:dyDescent="0.25">
      <c r="A46" s="1">
        <v>45939</v>
      </c>
      <c r="B46" s="21" t="s">
        <v>51</v>
      </c>
      <c r="C46" s="5" t="s">
        <v>40</v>
      </c>
      <c r="D46" s="5" t="s">
        <v>17</v>
      </c>
      <c r="E46" s="5" t="s">
        <v>28</v>
      </c>
      <c r="F46" s="5" t="s">
        <v>11</v>
      </c>
      <c r="G46" s="4">
        <v>2</v>
      </c>
      <c r="H46">
        <v>120</v>
      </c>
      <c r="I46" s="3">
        <v>240</v>
      </c>
      <c r="J46" s="2">
        <v>0</v>
      </c>
      <c r="K46" s="3">
        <v>0</v>
      </c>
      <c r="L46" s="3">
        <v>240</v>
      </c>
      <c r="M46" s="5" t="s">
        <v>25</v>
      </c>
      <c r="N46" s="5" t="s">
        <v>22</v>
      </c>
      <c r="O46" s="5" t="s">
        <v>27</v>
      </c>
      <c r="P46"/>
      <c r="Q46"/>
    </row>
    <row r="47" spans="1:17" x14ac:dyDescent="0.25">
      <c r="A47" s="1">
        <v>45962</v>
      </c>
      <c r="B47" s="21" t="s">
        <v>16</v>
      </c>
      <c r="C47" s="5" t="s">
        <v>40</v>
      </c>
      <c r="D47" s="5" t="s">
        <v>19</v>
      </c>
      <c r="E47" s="5" t="s">
        <v>28</v>
      </c>
      <c r="F47" s="5" t="s">
        <v>11</v>
      </c>
      <c r="G47" s="4">
        <v>3</v>
      </c>
      <c r="H47">
        <v>49.9</v>
      </c>
      <c r="I47" s="3">
        <v>149.69999999999999</v>
      </c>
      <c r="J47" s="2">
        <v>0.05</v>
      </c>
      <c r="K47" s="3">
        <v>7.4850000000000003</v>
      </c>
      <c r="L47" s="3">
        <v>142.215</v>
      </c>
      <c r="M47" s="5" t="s">
        <v>25</v>
      </c>
      <c r="N47" s="5" t="s">
        <v>26</v>
      </c>
      <c r="O47" s="5" t="s">
        <v>27</v>
      </c>
      <c r="P47"/>
      <c r="Q47"/>
    </row>
    <row r="48" spans="1:17" x14ac:dyDescent="0.25">
      <c r="A48" s="1">
        <v>45947</v>
      </c>
      <c r="B48" s="21" t="s">
        <v>46</v>
      </c>
      <c r="C48" s="5" t="s">
        <v>40</v>
      </c>
      <c r="D48" s="5" t="s">
        <v>17</v>
      </c>
      <c r="E48" s="5" t="s">
        <v>20</v>
      </c>
      <c r="F48" s="5" t="s">
        <v>21</v>
      </c>
      <c r="G48" s="4">
        <v>1</v>
      </c>
      <c r="H48">
        <v>120</v>
      </c>
      <c r="I48" s="3">
        <v>120</v>
      </c>
      <c r="J48" s="2">
        <v>0.1</v>
      </c>
      <c r="K48" s="3">
        <v>12</v>
      </c>
      <c r="L48" s="3">
        <v>108</v>
      </c>
      <c r="M48" s="5" t="s">
        <v>25</v>
      </c>
      <c r="N48" s="5" t="s">
        <v>41</v>
      </c>
      <c r="O48" s="5" t="s">
        <v>41</v>
      </c>
      <c r="P48"/>
      <c r="Q48"/>
    </row>
    <row r="49" spans="1:17" x14ac:dyDescent="0.25">
      <c r="A49" s="1">
        <v>45951</v>
      </c>
      <c r="B49" s="21" t="s">
        <v>35</v>
      </c>
      <c r="C49" s="5" t="s">
        <v>40</v>
      </c>
      <c r="D49" s="5" t="s">
        <v>17</v>
      </c>
      <c r="E49" s="5" t="s">
        <v>28</v>
      </c>
      <c r="F49" s="5" t="s">
        <v>14</v>
      </c>
      <c r="G49" s="4">
        <v>3</v>
      </c>
      <c r="H49">
        <v>120</v>
      </c>
      <c r="I49" s="3">
        <v>360</v>
      </c>
      <c r="J49" s="2">
        <v>0.1</v>
      </c>
      <c r="K49" s="3">
        <v>36</v>
      </c>
      <c r="L49" s="3">
        <v>324</v>
      </c>
      <c r="M49" s="5" t="s">
        <v>25</v>
      </c>
      <c r="N49" s="5" t="s">
        <v>15</v>
      </c>
      <c r="O49" s="5" t="s">
        <v>18</v>
      </c>
      <c r="P49"/>
      <c r="Q49"/>
    </row>
    <row r="50" spans="1:17" x14ac:dyDescent="0.25">
      <c r="A50" s="1">
        <v>45972</v>
      </c>
      <c r="B50" s="21" t="s">
        <v>16</v>
      </c>
      <c r="C50" s="5" t="s">
        <v>37</v>
      </c>
      <c r="D50" s="5" t="s">
        <v>19</v>
      </c>
      <c r="E50" s="5" t="s">
        <v>28</v>
      </c>
      <c r="F50" s="5" t="s">
        <v>11</v>
      </c>
      <c r="G50" s="4">
        <v>2</v>
      </c>
      <c r="H50">
        <v>120</v>
      </c>
      <c r="I50" s="3">
        <v>240</v>
      </c>
      <c r="J50" s="2">
        <v>0</v>
      </c>
      <c r="K50" s="3">
        <v>0</v>
      </c>
      <c r="L50" s="3">
        <v>240</v>
      </c>
      <c r="M50" s="5" t="s">
        <v>25</v>
      </c>
      <c r="N50" s="5" t="s">
        <v>12</v>
      </c>
      <c r="O50" s="5" t="s">
        <v>18</v>
      </c>
      <c r="P50"/>
      <c r="Q50"/>
    </row>
    <row r="51" spans="1:17" x14ac:dyDescent="0.25">
      <c r="A51" s="1">
        <v>45968</v>
      </c>
      <c r="B51" s="21" t="s">
        <v>35</v>
      </c>
      <c r="C51" s="5" t="s">
        <v>40</v>
      </c>
      <c r="D51" s="5" t="s">
        <v>17</v>
      </c>
      <c r="E51" s="5" t="s">
        <v>41</v>
      </c>
      <c r="F51" s="5" t="s">
        <v>21</v>
      </c>
      <c r="G51" s="4">
        <v>2</v>
      </c>
      <c r="H51">
        <v>200</v>
      </c>
      <c r="I51" s="3">
        <v>400</v>
      </c>
      <c r="J51" s="2">
        <v>0.1</v>
      </c>
      <c r="K51" s="3">
        <v>40</v>
      </c>
      <c r="L51" s="3">
        <v>360</v>
      </c>
      <c r="M51" s="5" t="s">
        <v>38</v>
      </c>
      <c r="N51" s="5" t="s">
        <v>22</v>
      </c>
      <c r="O51" s="5" t="s">
        <v>41</v>
      </c>
      <c r="P51"/>
      <c r="Q51"/>
    </row>
    <row r="52" spans="1:17" x14ac:dyDescent="0.25">
      <c r="A52" s="1">
        <v>45958</v>
      </c>
      <c r="B52" s="21" t="s">
        <v>35</v>
      </c>
      <c r="C52" s="5" t="s">
        <v>40</v>
      </c>
      <c r="D52" s="5" t="s">
        <v>17</v>
      </c>
      <c r="E52" s="5" t="s">
        <v>28</v>
      </c>
      <c r="F52" s="5" t="s">
        <v>24</v>
      </c>
      <c r="G52" s="4">
        <v>3</v>
      </c>
      <c r="H52">
        <v>120</v>
      </c>
      <c r="I52" s="3">
        <v>360</v>
      </c>
      <c r="J52" s="2">
        <v>0.1</v>
      </c>
      <c r="K52" s="3">
        <v>36</v>
      </c>
      <c r="L52" s="3">
        <v>324</v>
      </c>
      <c r="M52" s="5" t="s">
        <v>25</v>
      </c>
      <c r="N52" s="5" t="s">
        <v>26</v>
      </c>
      <c r="O52" s="5" t="s">
        <v>41</v>
      </c>
      <c r="P52"/>
      <c r="Q52"/>
    </row>
    <row r="53" spans="1:17" x14ac:dyDescent="0.25">
      <c r="A53" s="1">
        <v>46002</v>
      </c>
      <c r="B53" s="21" t="s">
        <v>39</v>
      </c>
      <c r="C53" s="5" t="s">
        <v>42</v>
      </c>
      <c r="D53" s="5" t="s">
        <v>23</v>
      </c>
      <c r="E53" s="5" t="s">
        <v>28</v>
      </c>
      <c r="F53" s="5" t="s">
        <v>24</v>
      </c>
      <c r="G53" s="4">
        <v>3</v>
      </c>
      <c r="H53">
        <v>200</v>
      </c>
      <c r="I53" s="3">
        <v>600</v>
      </c>
      <c r="J53" s="2">
        <v>0.1</v>
      </c>
      <c r="K53" s="3">
        <v>60</v>
      </c>
      <c r="L53" s="3">
        <v>540</v>
      </c>
      <c r="M53" s="5" t="s">
        <v>25</v>
      </c>
      <c r="N53" s="5" t="s">
        <v>41</v>
      </c>
      <c r="O53" s="5" t="s">
        <v>18</v>
      </c>
      <c r="P53"/>
      <c r="Q53"/>
    </row>
    <row r="54" spans="1:17" x14ac:dyDescent="0.25">
      <c r="A54" s="1">
        <v>45930</v>
      </c>
      <c r="B54" s="21" t="s">
        <v>16</v>
      </c>
      <c r="C54" s="5" t="s">
        <v>37</v>
      </c>
      <c r="D54" s="5" t="s">
        <v>19</v>
      </c>
      <c r="E54" s="5" t="s">
        <v>28</v>
      </c>
      <c r="F54" s="5" t="s">
        <v>21</v>
      </c>
      <c r="G54" s="4">
        <v>2</v>
      </c>
      <c r="H54">
        <v>120</v>
      </c>
      <c r="I54" s="3">
        <v>240</v>
      </c>
      <c r="J54" s="2">
        <v>0</v>
      </c>
      <c r="K54" s="3">
        <v>0</v>
      </c>
      <c r="L54" s="3">
        <v>240</v>
      </c>
      <c r="M54" s="5" t="s">
        <v>38</v>
      </c>
      <c r="N54" s="5" t="s">
        <v>26</v>
      </c>
      <c r="O54" s="5" t="s">
        <v>41</v>
      </c>
      <c r="P54"/>
      <c r="Q54"/>
    </row>
    <row r="55" spans="1:17" x14ac:dyDescent="0.25">
      <c r="A55" s="1">
        <v>45954</v>
      </c>
      <c r="B55" s="21" t="s">
        <v>51</v>
      </c>
      <c r="C55" s="5" t="s">
        <v>40</v>
      </c>
      <c r="D55" s="5" t="s">
        <v>17</v>
      </c>
      <c r="E55" s="5" t="s">
        <v>41</v>
      </c>
      <c r="F55" s="5" t="s">
        <v>14</v>
      </c>
      <c r="G55" s="4">
        <v>3</v>
      </c>
      <c r="H55">
        <v>120</v>
      </c>
      <c r="I55" s="3">
        <v>360</v>
      </c>
      <c r="J55" s="2">
        <v>0.1</v>
      </c>
      <c r="K55" s="3">
        <v>36</v>
      </c>
      <c r="L55" s="3">
        <v>324</v>
      </c>
      <c r="M55" s="5" t="s">
        <v>38</v>
      </c>
      <c r="N55" s="5" t="s">
        <v>26</v>
      </c>
      <c r="O55" s="5" t="s">
        <v>41</v>
      </c>
      <c r="P55"/>
      <c r="Q55"/>
    </row>
    <row r="56" spans="1:17" x14ac:dyDescent="0.25">
      <c r="A56" s="1">
        <v>45944</v>
      </c>
      <c r="B56" s="21" t="s">
        <v>33</v>
      </c>
      <c r="C56" s="5" t="s">
        <v>40</v>
      </c>
      <c r="D56" s="5" t="s">
        <v>17</v>
      </c>
      <c r="E56" s="5" t="s">
        <v>28</v>
      </c>
      <c r="F56" s="5" t="s">
        <v>21</v>
      </c>
      <c r="G56" s="4">
        <v>1</v>
      </c>
      <c r="H56">
        <v>49.9</v>
      </c>
      <c r="I56" s="3">
        <v>49.9</v>
      </c>
      <c r="J56" s="2">
        <v>0</v>
      </c>
      <c r="K56" s="3">
        <v>0</v>
      </c>
      <c r="L56" s="3">
        <v>49.9</v>
      </c>
      <c r="M56" s="5" t="s">
        <v>38</v>
      </c>
      <c r="N56" s="5" t="s">
        <v>15</v>
      </c>
      <c r="O56" s="5" t="s">
        <v>18</v>
      </c>
      <c r="P56"/>
      <c r="Q56"/>
    </row>
    <row r="57" spans="1:17" x14ac:dyDescent="0.25">
      <c r="A57" s="1">
        <v>45933</v>
      </c>
      <c r="B57" s="21" t="s">
        <v>43</v>
      </c>
      <c r="C57" s="5" t="s">
        <v>42</v>
      </c>
      <c r="D57" s="5" t="s">
        <v>17</v>
      </c>
      <c r="E57" s="5" t="s">
        <v>20</v>
      </c>
      <c r="F57" s="5" t="s">
        <v>24</v>
      </c>
      <c r="G57" s="4">
        <v>3</v>
      </c>
      <c r="H57">
        <v>120</v>
      </c>
      <c r="I57" s="3">
        <v>360</v>
      </c>
      <c r="J57" s="2">
        <v>0.1</v>
      </c>
      <c r="K57" s="3">
        <v>36</v>
      </c>
      <c r="L57" s="3">
        <v>324</v>
      </c>
      <c r="M57" s="5" t="s">
        <v>38</v>
      </c>
      <c r="N57" s="5" t="s">
        <v>22</v>
      </c>
      <c r="O57" s="5" t="s">
        <v>41</v>
      </c>
      <c r="P57"/>
      <c r="Q57"/>
    </row>
    <row r="58" spans="1:17" x14ac:dyDescent="0.25">
      <c r="A58" s="1">
        <v>45947</v>
      </c>
      <c r="B58" s="21" t="s">
        <v>34</v>
      </c>
      <c r="C58" s="5" t="s">
        <v>40</v>
      </c>
      <c r="D58" s="5" t="s">
        <v>23</v>
      </c>
      <c r="E58" s="5" t="s">
        <v>20</v>
      </c>
      <c r="F58" s="5" t="s">
        <v>11</v>
      </c>
      <c r="G58" s="4">
        <v>2</v>
      </c>
      <c r="H58">
        <v>49.9</v>
      </c>
      <c r="I58" s="3">
        <v>99.8</v>
      </c>
      <c r="J58" s="2">
        <v>0.1</v>
      </c>
      <c r="K58" s="3">
        <v>9.98</v>
      </c>
      <c r="L58" s="3">
        <v>89.82</v>
      </c>
      <c r="M58" s="5" t="s">
        <v>25</v>
      </c>
      <c r="N58" s="5" t="s">
        <v>12</v>
      </c>
      <c r="O58" s="5" t="s">
        <v>13</v>
      </c>
      <c r="P58"/>
      <c r="Q58"/>
    </row>
    <row r="59" spans="1:17" x14ac:dyDescent="0.25">
      <c r="A59" s="1">
        <v>46016</v>
      </c>
      <c r="B59" s="21" t="s">
        <v>43</v>
      </c>
      <c r="C59" s="5" t="s">
        <v>45</v>
      </c>
      <c r="D59" s="5" t="s">
        <v>17</v>
      </c>
      <c r="E59" s="5" t="s">
        <v>41</v>
      </c>
      <c r="F59" s="5" t="s">
        <v>21</v>
      </c>
      <c r="G59" s="4">
        <v>2</v>
      </c>
      <c r="H59">
        <v>120</v>
      </c>
      <c r="I59" s="3">
        <v>240</v>
      </c>
      <c r="J59" s="2">
        <v>0.1</v>
      </c>
      <c r="K59" s="3">
        <v>24</v>
      </c>
      <c r="L59" s="3">
        <v>216</v>
      </c>
      <c r="M59" s="5" t="s">
        <v>44</v>
      </c>
      <c r="N59" s="5" t="s">
        <v>22</v>
      </c>
      <c r="O59" s="5" t="s">
        <v>41</v>
      </c>
      <c r="P59"/>
      <c r="Q59"/>
    </row>
    <row r="60" spans="1:17" x14ac:dyDescent="0.25">
      <c r="A60" s="1">
        <v>46001</v>
      </c>
      <c r="B60" s="21" t="s">
        <v>48</v>
      </c>
      <c r="C60" s="5" t="s">
        <v>40</v>
      </c>
      <c r="D60" s="5" t="s">
        <v>23</v>
      </c>
      <c r="E60" s="5" t="s">
        <v>41</v>
      </c>
      <c r="F60" s="5" t="s">
        <v>21</v>
      </c>
      <c r="G60" s="4">
        <v>3</v>
      </c>
      <c r="H60">
        <v>200</v>
      </c>
      <c r="I60" s="3">
        <v>600</v>
      </c>
      <c r="J60" s="2">
        <v>0.05</v>
      </c>
      <c r="K60" s="3">
        <v>30</v>
      </c>
      <c r="L60" s="3">
        <v>570</v>
      </c>
      <c r="M60" s="5" t="s">
        <v>25</v>
      </c>
      <c r="N60" s="5" t="s">
        <v>26</v>
      </c>
      <c r="O60" s="5" t="s">
        <v>41</v>
      </c>
      <c r="P60"/>
      <c r="Q60"/>
    </row>
    <row r="61" spans="1:17" x14ac:dyDescent="0.25">
      <c r="A61" s="1">
        <v>45963</v>
      </c>
      <c r="B61" s="21" t="s">
        <v>35</v>
      </c>
      <c r="C61" s="5" t="s">
        <v>40</v>
      </c>
      <c r="D61" s="5" t="s">
        <v>17</v>
      </c>
      <c r="E61" s="5" t="s">
        <v>20</v>
      </c>
      <c r="F61" s="5" t="s">
        <v>14</v>
      </c>
      <c r="G61" s="4">
        <v>3</v>
      </c>
      <c r="H61">
        <v>49.9</v>
      </c>
      <c r="I61" s="3">
        <v>149.69999999999999</v>
      </c>
      <c r="J61" s="2">
        <v>0.1</v>
      </c>
      <c r="K61" s="3">
        <v>14.97</v>
      </c>
      <c r="L61" s="3">
        <v>134.72999999999999</v>
      </c>
      <c r="M61" s="5" t="s">
        <v>38</v>
      </c>
      <c r="N61" s="5" t="s">
        <v>22</v>
      </c>
      <c r="O61" s="5" t="s">
        <v>41</v>
      </c>
      <c r="P61"/>
      <c r="Q61"/>
    </row>
    <row r="62" spans="1:17" x14ac:dyDescent="0.25">
      <c r="A62" s="1">
        <v>45931</v>
      </c>
      <c r="B62" s="21" t="s">
        <v>29</v>
      </c>
      <c r="C62" s="5" t="s">
        <v>40</v>
      </c>
      <c r="D62" s="5" t="s">
        <v>19</v>
      </c>
      <c r="E62" s="5" t="s">
        <v>28</v>
      </c>
      <c r="F62" s="5" t="s">
        <v>21</v>
      </c>
      <c r="G62" s="4">
        <v>2</v>
      </c>
      <c r="H62">
        <v>120</v>
      </c>
      <c r="I62" s="3">
        <v>240</v>
      </c>
      <c r="J62" s="2">
        <v>0</v>
      </c>
      <c r="K62" s="3">
        <v>0</v>
      </c>
      <c r="L62" s="3">
        <v>240</v>
      </c>
      <c r="M62" s="5" t="s">
        <v>44</v>
      </c>
      <c r="N62" s="5" t="s">
        <v>15</v>
      </c>
      <c r="O62" s="5" t="s">
        <v>27</v>
      </c>
      <c r="P62"/>
      <c r="Q62"/>
    </row>
    <row r="63" spans="1:17" x14ac:dyDescent="0.25">
      <c r="A63" s="1">
        <v>45960</v>
      </c>
      <c r="B63" s="21" t="s">
        <v>51</v>
      </c>
      <c r="C63" s="5" t="s">
        <v>40</v>
      </c>
      <c r="D63" s="5" t="s">
        <v>17</v>
      </c>
      <c r="E63" s="5" t="s">
        <v>20</v>
      </c>
      <c r="F63" s="5" t="s">
        <v>11</v>
      </c>
      <c r="G63" s="4">
        <v>3</v>
      </c>
      <c r="H63">
        <v>120</v>
      </c>
      <c r="I63" s="3">
        <v>360</v>
      </c>
      <c r="J63" s="2">
        <v>0.1</v>
      </c>
      <c r="K63" s="3">
        <v>36</v>
      </c>
      <c r="L63" s="3">
        <v>324</v>
      </c>
      <c r="M63" s="5" t="s">
        <v>44</v>
      </c>
      <c r="N63" s="5" t="s">
        <v>15</v>
      </c>
      <c r="O63" s="5" t="s">
        <v>27</v>
      </c>
      <c r="P63"/>
      <c r="Q63"/>
    </row>
    <row r="64" spans="1:17" x14ac:dyDescent="0.25">
      <c r="A64" s="1">
        <v>46011</v>
      </c>
      <c r="B64" s="21" t="s">
        <v>46</v>
      </c>
      <c r="C64" s="5" t="s">
        <v>40</v>
      </c>
      <c r="D64" s="5" t="s">
        <v>17</v>
      </c>
      <c r="E64" s="5" t="s">
        <v>41</v>
      </c>
      <c r="F64" s="5" t="s">
        <v>21</v>
      </c>
      <c r="G64" s="4">
        <v>1</v>
      </c>
      <c r="H64">
        <v>200</v>
      </c>
      <c r="I64" s="3">
        <v>200</v>
      </c>
      <c r="J64" s="2">
        <v>0</v>
      </c>
      <c r="K64" s="3">
        <v>0</v>
      </c>
      <c r="L64" s="3">
        <v>200</v>
      </c>
      <c r="M64" s="5" t="s">
        <v>38</v>
      </c>
      <c r="N64" s="5" t="s">
        <v>26</v>
      </c>
      <c r="O64" s="5" t="s">
        <v>18</v>
      </c>
      <c r="P64"/>
      <c r="Q64"/>
    </row>
    <row r="65" spans="1:17" x14ac:dyDescent="0.25">
      <c r="A65" s="1">
        <v>45935</v>
      </c>
      <c r="B65" s="21" t="s">
        <v>39</v>
      </c>
      <c r="C65" s="5" t="s">
        <v>42</v>
      </c>
      <c r="D65" s="5" t="s">
        <v>23</v>
      </c>
      <c r="E65" s="5" t="s">
        <v>28</v>
      </c>
      <c r="F65" s="5" t="s">
        <v>21</v>
      </c>
      <c r="G65" s="4">
        <v>2</v>
      </c>
      <c r="H65">
        <v>120</v>
      </c>
      <c r="I65" s="3">
        <v>240</v>
      </c>
      <c r="J65" s="2">
        <v>0.1</v>
      </c>
      <c r="K65" s="3">
        <v>24</v>
      </c>
      <c r="L65" s="3">
        <v>216</v>
      </c>
      <c r="M65" s="5" t="s">
        <v>44</v>
      </c>
      <c r="N65" s="5" t="s">
        <v>22</v>
      </c>
      <c r="O65" s="5" t="s">
        <v>41</v>
      </c>
      <c r="P65"/>
      <c r="Q65"/>
    </row>
    <row r="66" spans="1:17" x14ac:dyDescent="0.25">
      <c r="A66" s="1">
        <v>46004</v>
      </c>
      <c r="B66" s="21" t="s">
        <v>33</v>
      </c>
      <c r="C66" s="5" t="s">
        <v>40</v>
      </c>
      <c r="D66" s="5" t="s">
        <v>17</v>
      </c>
      <c r="E66" s="5" t="s">
        <v>41</v>
      </c>
      <c r="F66" s="5" t="s">
        <v>11</v>
      </c>
      <c r="G66" s="4">
        <v>2</v>
      </c>
      <c r="H66">
        <v>120</v>
      </c>
      <c r="I66" s="3">
        <v>240</v>
      </c>
      <c r="J66" s="2">
        <v>0.1</v>
      </c>
      <c r="K66" s="3">
        <v>24</v>
      </c>
      <c r="L66" s="3">
        <v>216</v>
      </c>
      <c r="M66" s="5" t="s">
        <v>25</v>
      </c>
      <c r="N66" s="5" t="s">
        <v>15</v>
      </c>
      <c r="O66" s="5" t="s">
        <v>18</v>
      </c>
      <c r="P66"/>
      <c r="Q66"/>
    </row>
    <row r="67" spans="1:17" x14ac:dyDescent="0.25">
      <c r="A67" s="1">
        <v>45950</v>
      </c>
      <c r="B67" s="21" t="s">
        <v>49</v>
      </c>
      <c r="C67" s="5" t="s">
        <v>40</v>
      </c>
      <c r="D67" s="5" t="s">
        <v>19</v>
      </c>
      <c r="E67" s="5" t="s">
        <v>20</v>
      </c>
      <c r="F67" s="5" t="s">
        <v>14</v>
      </c>
      <c r="G67" s="4">
        <v>1</v>
      </c>
      <c r="H67">
        <v>120</v>
      </c>
      <c r="I67" s="3">
        <v>120</v>
      </c>
      <c r="J67" s="2">
        <v>0.1</v>
      </c>
      <c r="K67" s="3">
        <v>12</v>
      </c>
      <c r="L67" s="3">
        <v>108</v>
      </c>
      <c r="M67" s="5" t="s">
        <v>38</v>
      </c>
      <c r="N67" s="5" t="s">
        <v>26</v>
      </c>
      <c r="O67" s="5" t="s">
        <v>18</v>
      </c>
      <c r="P67"/>
      <c r="Q67"/>
    </row>
    <row r="68" spans="1:17" x14ac:dyDescent="0.25">
      <c r="A68" s="1">
        <v>45994</v>
      </c>
      <c r="B68" s="21" t="s">
        <v>43</v>
      </c>
      <c r="C68" s="5" t="s">
        <v>42</v>
      </c>
      <c r="D68" s="5" t="s">
        <v>17</v>
      </c>
      <c r="E68" s="5" t="s">
        <v>28</v>
      </c>
      <c r="F68" s="5" t="s">
        <v>21</v>
      </c>
      <c r="G68" s="4">
        <v>3</v>
      </c>
      <c r="H68">
        <v>199.99</v>
      </c>
      <c r="I68" s="3">
        <v>599.97</v>
      </c>
      <c r="J68" s="2">
        <v>0</v>
      </c>
      <c r="K68" s="3">
        <v>0</v>
      </c>
      <c r="L68" s="3">
        <v>599.97</v>
      </c>
      <c r="M68" s="5" t="s">
        <v>38</v>
      </c>
      <c r="N68" s="5" t="s">
        <v>15</v>
      </c>
      <c r="O68" s="5" t="s">
        <v>13</v>
      </c>
      <c r="P68"/>
      <c r="Q68"/>
    </row>
    <row r="69" spans="1:17" x14ac:dyDescent="0.25">
      <c r="A69" s="1">
        <v>45935</v>
      </c>
      <c r="B69" s="21" t="s">
        <v>52</v>
      </c>
      <c r="C69" s="5" t="s">
        <v>40</v>
      </c>
      <c r="D69" s="5" t="s">
        <v>17</v>
      </c>
      <c r="E69" s="5" t="s">
        <v>28</v>
      </c>
      <c r="F69" s="5" t="s">
        <v>21</v>
      </c>
      <c r="G69" s="4">
        <v>2</v>
      </c>
      <c r="H69">
        <v>120</v>
      </c>
      <c r="I69" s="3">
        <v>240</v>
      </c>
      <c r="J69" s="2">
        <v>0</v>
      </c>
      <c r="K69" s="3">
        <v>0</v>
      </c>
      <c r="L69" s="3">
        <v>240</v>
      </c>
      <c r="M69" s="5" t="s">
        <v>44</v>
      </c>
      <c r="N69" s="5" t="s">
        <v>26</v>
      </c>
      <c r="O69" s="5" t="s">
        <v>27</v>
      </c>
      <c r="P69"/>
      <c r="Q69"/>
    </row>
    <row r="70" spans="1:17" x14ac:dyDescent="0.25">
      <c r="A70" s="1">
        <v>45952</v>
      </c>
      <c r="B70" s="21" t="s">
        <v>43</v>
      </c>
      <c r="C70" s="5" t="s">
        <v>45</v>
      </c>
      <c r="D70" s="5" t="s">
        <v>17</v>
      </c>
      <c r="E70" s="5" t="s">
        <v>41</v>
      </c>
      <c r="F70" s="5" t="s">
        <v>14</v>
      </c>
      <c r="G70" s="4">
        <v>2</v>
      </c>
      <c r="H70">
        <v>120</v>
      </c>
      <c r="I70" s="3">
        <v>240</v>
      </c>
      <c r="J70" s="2">
        <v>0</v>
      </c>
      <c r="K70" s="3">
        <v>0</v>
      </c>
      <c r="L70" s="3">
        <v>240</v>
      </c>
      <c r="M70" s="5" t="s">
        <v>25</v>
      </c>
      <c r="N70" s="5" t="s">
        <v>15</v>
      </c>
      <c r="O70" s="5" t="s">
        <v>41</v>
      </c>
      <c r="P70"/>
      <c r="Q70"/>
    </row>
    <row r="71" spans="1:17" x14ac:dyDescent="0.25">
      <c r="A71" s="1">
        <v>45965</v>
      </c>
      <c r="B71" s="21" t="s">
        <v>30</v>
      </c>
      <c r="C71" s="5" t="s">
        <v>40</v>
      </c>
      <c r="D71" s="5" t="s">
        <v>19</v>
      </c>
      <c r="E71" s="5" t="s">
        <v>28</v>
      </c>
      <c r="F71" s="5" t="s">
        <v>24</v>
      </c>
      <c r="G71" s="4">
        <v>2</v>
      </c>
      <c r="H71">
        <v>199.99</v>
      </c>
      <c r="I71" s="3">
        <v>399.98</v>
      </c>
      <c r="J71" s="2">
        <v>0.1</v>
      </c>
      <c r="K71" s="3">
        <v>39.997999999999998</v>
      </c>
      <c r="L71" s="3">
        <v>359.98200000000003</v>
      </c>
      <c r="M71" s="5" t="s">
        <v>25</v>
      </c>
      <c r="N71" s="5" t="s">
        <v>12</v>
      </c>
      <c r="O71" s="5" t="s">
        <v>41</v>
      </c>
      <c r="P71"/>
      <c r="Q71"/>
    </row>
    <row r="72" spans="1:17" x14ac:dyDescent="0.25">
      <c r="A72" s="1">
        <v>45957</v>
      </c>
      <c r="B72" s="21" t="s">
        <v>33</v>
      </c>
      <c r="C72" s="5" t="s">
        <v>40</v>
      </c>
      <c r="D72" s="5" t="s">
        <v>17</v>
      </c>
      <c r="E72" s="5" t="s">
        <v>28</v>
      </c>
      <c r="F72" s="5" t="s">
        <v>14</v>
      </c>
      <c r="G72" s="4">
        <v>3</v>
      </c>
      <c r="H72">
        <v>49.9</v>
      </c>
      <c r="I72" s="3">
        <v>149.69999999999999</v>
      </c>
      <c r="J72" s="2">
        <v>0.1</v>
      </c>
      <c r="K72" s="3">
        <v>14.97</v>
      </c>
      <c r="L72" s="3">
        <v>134.72999999999999</v>
      </c>
      <c r="M72" s="5" t="s">
        <v>25</v>
      </c>
      <c r="N72" s="5" t="s">
        <v>15</v>
      </c>
      <c r="O72" s="5" t="s">
        <v>13</v>
      </c>
      <c r="P72"/>
      <c r="Q72"/>
    </row>
    <row r="73" spans="1:17" x14ac:dyDescent="0.25">
      <c r="A73" s="1">
        <v>45969</v>
      </c>
      <c r="B73" s="21" t="s">
        <v>39</v>
      </c>
      <c r="C73" s="5" t="s">
        <v>37</v>
      </c>
      <c r="D73" s="5" t="s">
        <v>23</v>
      </c>
      <c r="E73" s="5" t="s">
        <v>41</v>
      </c>
      <c r="F73" s="5" t="s">
        <v>11</v>
      </c>
      <c r="G73" s="4">
        <v>1</v>
      </c>
      <c r="H73">
        <v>199.99</v>
      </c>
      <c r="I73" s="3">
        <v>199.99</v>
      </c>
      <c r="J73" s="2">
        <v>0.1</v>
      </c>
      <c r="K73" s="3">
        <v>19.998999999999999</v>
      </c>
      <c r="L73" s="3">
        <v>179.99100000000001</v>
      </c>
      <c r="M73" s="5" t="s">
        <v>38</v>
      </c>
      <c r="N73" s="5" t="s">
        <v>15</v>
      </c>
      <c r="O73" s="5" t="s">
        <v>41</v>
      </c>
      <c r="P73"/>
      <c r="Q73"/>
    </row>
    <row r="74" spans="1:17" x14ac:dyDescent="0.25">
      <c r="A74" s="1">
        <v>45999</v>
      </c>
      <c r="B74" s="21" t="s">
        <v>43</v>
      </c>
      <c r="C74" s="5" t="s">
        <v>42</v>
      </c>
      <c r="D74" s="5" t="s">
        <v>17</v>
      </c>
      <c r="E74" s="5" t="s">
        <v>28</v>
      </c>
      <c r="F74" s="5" t="s">
        <v>11</v>
      </c>
      <c r="G74" s="4">
        <v>3</v>
      </c>
      <c r="H74">
        <v>49.9</v>
      </c>
      <c r="I74" s="3">
        <v>149.69999999999999</v>
      </c>
      <c r="J74" s="2">
        <v>0.05</v>
      </c>
      <c r="K74" s="3">
        <v>7.4850000000000003</v>
      </c>
      <c r="L74" s="3">
        <v>142.215</v>
      </c>
      <c r="M74" s="5" t="s">
        <v>25</v>
      </c>
      <c r="N74" s="5" t="s">
        <v>15</v>
      </c>
      <c r="O74" s="5" t="s">
        <v>41</v>
      </c>
      <c r="P74"/>
      <c r="Q74"/>
    </row>
    <row r="75" spans="1:17" x14ac:dyDescent="0.25">
      <c r="A75" s="1">
        <v>45976</v>
      </c>
      <c r="B75" s="21" t="s">
        <v>46</v>
      </c>
      <c r="C75" s="5" t="s">
        <v>40</v>
      </c>
      <c r="D75" s="5" t="s">
        <v>17</v>
      </c>
      <c r="E75" s="5" t="s">
        <v>20</v>
      </c>
      <c r="F75" s="5" t="s">
        <v>14</v>
      </c>
      <c r="G75" s="4">
        <v>1</v>
      </c>
      <c r="H75">
        <v>49.9</v>
      </c>
      <c r="I75" s="3">
        <v>49.9</v>
      </c>
      <c r="J75" s="2">
        <v>0.1</v>
      </c>
      <c r="K75" s="3">
        <v>4.99</v>
      </c>
      <c r="L75" s="3">
        <v>44.91</v>
      </c>
      <c r="M75" s="5" t="s">
        <v>25</v>
      </c>
      <c r="N75" s="5" t="s">
        <v>15</v>
      </c>
      <c r="O75" s="5" t="s">
        <v>41</v>
      </c>
      <c r="P75"/>
      <c r="Q75"/>
    </row>
    <row r="76" spans="1:17" x14ac:dyDescent="0.25">
      <c r="A76" s="1">
        <v>45949</v>
      </c>
      <c r="B76" s="21" t="s">
        <v>33</v>
      </c>
      <c r="C76" s="5" t="s">
        <v>40</v>
      </c>
      <c r="D76" s="5" t="s">
        <v>17</v>
      </c>
      <c r="E76" s="5" t="s">
        <v>28</v>
      </c>
      <c r="F76" s="5" t="s">
        <v>24</v>
      </c>
      <c r="G76" s="4">
        <v>2</v>
      </c>
      <c r="H76">
        <v>120</v>
      </c>
      <c r="I76" s="3">
        <v>240</v>
      </c>
      <c r="J76" s="2">
        <v>0</v>
      </c>
      <c r="K76" s="3">
        <v>0</v>
      </c>
      <c r="L76" s="3">
        <v>240</v>
      </c>
      <c r="M76" s="5" t="s">
        <v>38</v>
      </c>
      <c r="N76" s="5" t="s">
        <v>26</v>
      </c>
      <c r="O76" s="5" t="s">
        <v>41</v>
      </c>
      <c r="P76"/>
      <c r="Q76"/>
    </row>
    <row r="77" spans="1:17" x14ac:dyDescent="0.25">
      <c r="A77" s="1">
        <v>45985</v>
      </c>
      <c r="B77" s="21" t="s">
        <v>33</v>
      </c>
      <c r="C77" s="5" t="s">
        <v>42</v>
      </c>
      <c r="D77" s="5" t="s">
        <v>17</v>
      </c>
      <c r="E77" s="5" t="s">
        <v>20</v>
      </c>
      <c r="F77" s="5" t="s">
        <v>21</v>
      </c>
      <c r="G77" s="4">
        <v>2</v>
      </c>
      <c r="H77">
        <v>49.9</v>
      </c>
      <c r="I77" s="3">
        <v>99.8</v>
      </c>
      <c r="J77" s="2">
        <v>0.1</v>
      </c>
      <c r="K77" s="3">
        <v>9.98</v>
      </c>
      <c r="L77" s="3">
        <v>89.82</v>
      </c>
      <c r="M77" s="5" t="s">
        <v>38</v>
      </c>
      <c r="N77" s="5" t="s">
        <v>26</v>
      </c>
      <c r="O77" s="5" t="s">
        <v>41</v>
      </c>
      <c r="P77"/>
      <c r="Q77"/>
    </row>
    <row r="78" spans="1:17" x14ac:dyDescent="0.25">
      <c r="A78" s="1">
        <v>45943</v>
      </c>
      <c r="B78" s="21" t="s">
        <v>48</v>
      </c>
      <c r="C78" s="5" t="s">
        <v>40</v>
      </c>
      <c r="D78" s="5" t="s">
        <v>23</v>
      </c>
      <c r="E78" s="5" t="s">
        <v>28</v>
      </c>
      <c r="F78" s="5" t="s">
        <v>14</v>
      </c>
      <c r="G78" s="4">
        <v>3</v>
      </c>
      <c r="H78">
        <v>199.99</v>
      </c>
      <c r="I78" s="3">
        <v>599.97</v>
      </c>
      <c r="J78" s="2">
        <v>0.1</v>
      </c>
      <c r="K78" s="3">
        <v>59.997</v>
      </c>
      <c r="L78" s="3">
        <v>539.97299999999996</v>
      </c>
      <c r="M78" s="5" t="s">
        <v>25</v>
      </c>
      <c r="N78" s="5" t="s">
        <v>26</v>
      </c>
      <c r="O78" s="5" t="s">
        <v>27</v>
      </c>
      <c r="P78"/>
      <c r="Q78"/>
    </row>
    <row r="79" spans="1:17" x14ac:dyDescent="0.25">
      <c r="A79" s="1">
        <v>45960</v>
      </c>
      <c r="B79" s="21" t="s">
        <v>48</v>
      </c>
      <c r="C79" s="5" t="s">
        <v>40</v>
      </c>
      <c r="D79" s="5" t="s">
        <v>23</v>
      </c>
      <c r="E79" s="5" t="s">
        <v>41</v>
      </c>
      <c r="F79" s="5" t="s">
        <v>21</v>
      </c>
      <c r="G79" s="4">
        <v>2</v>
      </c>
      <c r="H79">
        <v>199.99</v>
      </c>
      <c r="I79" s="3">
        <v>399.98</v>
      </c>
      <c r="J79" s="2">
        <v>0</v>
      </c>
      <c r="K79" s="3">
        <v>0</v>
      </c>
      <c r="L79" s="3">
        <v>399.98</v>
      </c>
      <c r="M79" s="5" t="s">
        <v>25</v>
      </c>
      <c r="N79" s="5" t="s">
        <v>12</v>
      </c>
      <c r="O79" s="5" t="s">
        <v>41</v>
      </c>
      <c r="P79"/>
      <c r="Q79"/>
    </row>
    <row r="80" spans="1:17" x14ac:dyDescent="0.25">
      <c r="A80" s="1">
        <v>46014</v>
      </c>
      <c r="B80" s="21" t="s">
        <v>30</v>
      </c>
      <c r="C80" s="5" t="s">
        <v>40</v>
      </c>
      <c r="D80" s="5" t="s">
        <v>19</v>
      </c>
      <c r="E80" s="5" t="s">
        <v>28</v>
      </c>
      <c r="F80" s="5" t="s">
        <v>11</v>
      </c>
      <c r="G80" s="4">
        <v>3</v>
      </c>
      <c r="H80">
        <v>49.9</v>
      </c>
      <c r="I80" s="3">
        <v>149.69999999999999</v>
      </c>
      <c r="J80" s="2">
        <v>0.1</v>
      </c>
      <c r="K80" s="3">
        <v>14.97</v>
      </c>
      <c r="L80" s="3">
        <v>134.72999999999999</v>
      </c>
      <c r="M80" s="5" t="s">
        <v>44</v>
      </c>
      <c r="N80" s="5" t="s">
        <v>41</v>
      </c>
      <c r="O80" s="5" t="s">
        <v>13</v>
      </c>
      <c r="P80"/>
      <c r="Q80"/>
    </row>
    <row r="81" spans="1:17" x14ac:dyDescent="0.25">
      <c r="A81" s="1">
        <v>45934</v>
      </c>
      <c r="B81" s="21" t="s">
        <v>53</v>
      </c>
      <c r="C81" s="5" t="s">
        <v>40</v>
      </c>
      <c r="D81" s="5" t="s">
        <v>19</v>
      </c>
      <c r="E81" s="5" t="s">
        <v>28</v>
      </c>
      <c r="F81" s="5" t="s">
        <v>11</v>
      </c>
      <c r="G81" s="4">
        <v>1</v>
      </c>
      <c r="H81">
        <v>49.9</v>
      </c>
      <c r="I81" s="3">
        <v>49.9</v>
      </c>
      <c r="J81" s="2">
        <v>0.1</v>
      </c>
      <c r="K81" s="3">
        <v>4.99</v>
      </c>
      <c r="L81" s="3">
        <v>44.91</v>
      </c>
      <c r="M81" s="5" t="s">
        <v>38</v>
      </c>
      <c r="N81" s="5" t="s">
        <v>22</v>
      </c>
      <c r="O81" s="5" t="s">
        <v>18</v>
      </c>
      <c r="P81"/>
      <c r="Q81"/>
    </row>
    <row r="82" spans="1:17" x14ac:dyDescent="0.25">
      <c r="A82" s="1">
        <v>45946</v>
      </c>
      <c r="B82" s="21" t="s">
        <v>30</v>
      </c>
      <c r="C82" s="5" t="s">
        <v>40</v>
      </c>
      <c r="D82" s="5" t="s">
        <v>19</v>
      </c>
      <c r="E82" s="5" t="s">
        <v>20</v>
      </c>
      <c r="F82" s="5" t="s">
        <v>11</v>
      </c>
      <c r="G82" s="4">
        <v>2</v>
      </c>
      <c r="H82">
        <v>120</v>
      </c>
      <c r="I82" s="3">
        <v>240</v>
      </c>
      <c r="J82" s="2">
        <v>0.1</v>
      </c>
      <c r="K82" s="3">
        <v>24</v>
      </c>
      <c r="L82" s="3">
        <v>216</v>
      </c>
      <c r="M82" s="5" t="s">
        <v>25</v>
      </c>
      <c r="N82" s="5" t="s">
        <v>26</v>
      </c>
      <c r="O82" s="5" t="s">
        <v>13</v>
      </c>
      <c r="P82"/>
      <c r="Q82"/>
    </row>
    <row r="83" spans="1:17" x14ac:dyDescent="0.25">
      <c r="A83" s="1">
        <v>45970</v>
      </c>
      <c r="B83" s="21" t="s">
        <v>16</v>
      </c>
      <c r="C83" s="5" t="s">
        <v>40</v>
      </c>
      <c r="D83" s="5" t="s">
        <v>19</v>
      </c>
      <c r="E83" s="5" t="s">
        <v>41</v>
      </c>
      <c r="F83" s="5" t="s">
        <v>14</v>
      </c>
      <c r="G83" s="4">
        <v>3</v>
      </c>
      <c r="H83">
        <v>199.99</v>
      </c>
      <c r="I83" s="3">
        <v>599.97</v>
      </c>
      <c r="J83" s="2">
        <v>0.1</v>
      </c>
      <c r="K83" s="3">
        <v>59.997</v>
      </c>
      <c r="L83" s="3">
        <v>539.97299999999996</v>
      </c>
      <c r="M83" s="5" t="s">
        <v>38</v>
      </c>
      <c r="N83" s="5" t="s">
        <v>15</v>
      </c>
      <c r="O83" s="5" t="s">
        <v>27</v>
      </c>
      <c r="P83"/>
      <c r="Q83"/>
    </row>
    <row r="84" spans="1:17" x14ac:dyDescent="0.25">
      <c r="A84" s="1">
        <v>46008</v>
      </c>
      <c r="B84" s="21" t="s">
        <v>33</v>
      </c>
      <c r="C84" s="5" t="s">
        <v>40</v>
      </c>
      <c r="D84" s="5" t="s">
        <v>17</v>
      </c>
      <c r="E84" s="5" t="s">
        <v>28</v>
      </c>
      <c r="F84" s="5" t="s">
        <v>11</v>
      </c>
      <c r="G84" s="4">
        <v>3</v>
      </c>
      <c r="H84">
        <v>49.9</v>
      </c>
      <c r="I84" s="3">
        <v>149.69999999999999</v>
      </c>
      <c r="J84" s="2">
        <v>0</v>
      </c>
      <c r="K84" s="3">
        <v>0</v>
      </c>
      <c r="L84" s="3">
        <v>149.69999999999999</v>
      </c>
      <c r="M84" s="5" t="s">
        <v>38</v>
      </c>
      <c r="N84" s="5" t="s">
        <v>22</v>
      </c>
      <c r="O84" s="5" t="s">
        <v>13</v>
      </c>
      <c r="P84"/>
      <c r="Q84"/>
    </row>
    <row r="85" spans="1:17" x14ac:dyDescent="0.25">
      <c r="A85" s="1">
        <v>46012</v>
      </c>
      <c r="B85" s="21" t="s">
        <v>30</v>
      </c>
      <c r="C85" s="5" t="s">
        <v>45</v>
      </c>
      <c r="D85" s="5" t="s">
        <v>19</v>
      </c>
      <c r="E85" s="5" t="s">
        <v>28</v>
      </c>
      <c r="F85" s="5" t="s">
        <v>21</v>
      </c>
      <c r="G85" s="4">
        <v>2</v>
      </c>
      <c r="H85">
        <v>49.9</v>
      </c>
      <c r="I85" s="3">
        <v>99.8</v>
      </c>
      <c r="J85" s="2">
        <v>0.1</v>
      </c>
      <c r="K85" s="3">
        <v>9.98</v>
      </c>
      <c r="L85" s="3">
        <v>89.82</v>
      </c>
      <c r="M85" s="5" t="s">
        <v>38</v>
      </c>
      <c r="N85" s="5" t="s">
        <v>12</v>
      </c>
      <c r="O85" s="5" t="s">
        <v>41</v>
      </c>
      <c r="P85"/>
      <c r="Q85"/>
    </row>
    <row r="86" spans="1:17" x14ac:dyDescent="0.25">
      <c r="A86" s="1">
        <v>45943</v>
      </c>
      <c r="B86" s="21" t="s">
        <v>16</v>
      </c>
      <c r="C86" s="5" t="s">
        <v>40</v>
      </c>
      <c r="D86" s="5" t="s">
        <v>19</v>
      </c>
      <c r="E86" s="5" t="s">
        <v>41</v>
      </c>
      <c r="F86" s="5" t="s">
        <v>11</v>
      </c>
      <c r="G86" s="4">
        <v>2</v>
      </c>
      <c r="H86">
        <v>199.99</v>
      </c>
      <c r="I86" s="3">
        <v>399.98</v>
      </c>
      <c r="J86" s="2">
        <v>0</v>
      </c>
      <c r="K86" s="3">
        <v>0</v>
      </c>
      <c r="L86" s="3">
        <v>399.98</v>
      </c>
      <c r="M86" s="5" t="s">
        <v>25</v>
      </c>
      <c r="N86" s="5" t="s">
        <v>41</v>
      </c>
      <c r="O86" s="5" t="s">
        <v>27</v>
      </c>
      <c r="P86"/>
      <c r="Q86"/>
    </row>
    <row r="87" spans="1:17" x14ac:dyDescent="0.25">
      <c r="A87" s="1">
        <v>45987</v>
      </c>
      <c r="B87" s="21" t="s">
        <v>47</v>
      </c>
      <c r="C87" s="5" t="s">
        <v>40</v>
      </c>
      <c r="D87" s="5" t="s">
        <v>17</v>
      </c>
      <c r="E87" s="5" t="s">
        <v>28</v>
      </c>
      <c r="F87" s="5" t="s">
        <v>11</v>
      </c>
      <c r="G87" s="4">
        <v>3</v>
      </c>
      <c r="H87">
        <v>120</v>
      </c>
      <c r="I87" s="3">
        <v>360</v>
      </c>
      <c r="J87" s="2">
        <v>0</v>
      </c>
      <c r="K87" s="3">
        <v>0</v>
      </c>
      <c r="L87" s="3">
        <v>360</v>
      </c>
      <c r="M87" s="5" t="s">
        <v>25</v>
      </c>
      <c r="N87" s="5" t="s">
        <v>12</v>
      </c>
      <c r="O87" s="5" t="s">
        <v>41</v>
      </c>
      <c r="P87"/>
      <c r="Q87"/>
    </row>
    <row r="88" spans="1:17" x14ac:dyDescent="0.25">
      <c r="A88" s="1">
        <v>46003</v>
      </c>
      <c r="B88" s="21" t="s">
        <v>33</v>
      </c>
      <c r="C88" s="5" t="s">
        <v>42</v>
      </c>
      <c r="D88" s="5" t="s">
        <v>17</v>
      </c>
      <c r="E88" s="5" t="s">
        <v>20</v>
      </c>
      <c r="F88" s="5" t="s">
        <v>24</v>
      </c>
      <c r="G88" s="4">
        <v>2</v>
      </c>
      <c r="H88">
        <v>49.9</v>
      </c>
      <c r="I88" s="3">
        <v>99.8</v>
      </c>
      <c r="J88" s="2">
        <v>0</v>
      </c>
      <c r="K88" s="3">
        <v>0</v>
      </c>
      <c r="L88" s="3">
        <v>99.8</v>
      </c>
      <c r="M88" s="5" t="s">
        <v>44</v>
      </c>
      <c r="N88" s="5" t="s">
        <v>26</v>
      </c>
      <c r="O88" s="5" t="s">
        <v>41</v>
      </c>
      <c r="P88"/>
      <c r="Q88"/>
    </row>
    <row r="89" spans="1:17" x14ac:dyDescent="0.25">
      <c r="A89" s="1">
        <v>45978</v>
      </c>
      <c r="B89" s="21" t="s">
        <v>51</v>
      </c>
      <c r="C89" s="5" t="s">
        <v>40</v>
      </c>
      <c r="D89" s="5" t="s">
        <v>17</v>
      </c>
      <c r="E89" s="5" t="s">
        <v>41</v>
      </c>
      <c r="F89" s="5" t="s">
        <v>11</v>
      </c>
      <c r="G89" s="4">
        <v>1</v>
      </c>
      <c r="H89">
        <v>200</v>
      </c>
      <c r="I89" s="3">
        <v>200</v>
      </c>
      <c r="J89" s="2">
        <v>0</v>
      </c>
      <c r="K89" s="3">
        <v>0</v>
      </c>
      <c r="L89" s="3">
        <v>200</v>
      </c>
      <c r="M89" s="5" t="s">
        <v>38</v>
      </c>
      <c r="N89" s="5" t="s">
        <v>26</v>
      </c>
      <c r="O89" s="5" t="s">
        <v>41</v>
      </c>
      <c r="P89"/>
      <c r="Q89"/>
    </row>
    <row r="90" spans="1:17" x14ac:dyDescent="0.25">
      <c r="A90" s="1">
        <v>45956</v>
      </c>
      <c r="B90" s="21" t="s">
        <v>43</v>
      </c>
      <c r="C90" s="5" t="s">
        <v>42</v>
      </c>
      <c r="D90" s="5" t="s">
        <v>17</v>
      </c>
      <c r="E90" s="5" t="s">
        <v>28</v>
      </c>
      <c r="F90" s="5" t="s">
        <v>21</v>
      </c>
      <c r="G90" s="4">
        <v>3</v>
      </c>
      <c r="H90">
        <v>120</v>
      </c>
      <c r="I90" s="3">
        <v>360</v>
      </c>
      <c r="J90" s="2">
        <v>0.1</v>
      </c>
      <c r="K90" s="3">
        <v>36</v>
      </c>
      <c r="L90" s="3">
        <v>324</v>
      </c>
      <c r="M90" s="5" t="s">
        <v>38</v>
      </c>
      <c r="N90" s="5" t="s">
        <v>15</v>
      </c>
      <c r="O90" s="5" t="s">
        <v>27</v>
      </c>
      <c r="P90"/>
      <c r="Q90"/>
    </row>
    <row r="91" spans="1:17" x14ac:dyDescent="0.25">
      <c r="A91" s="1">
        <v>45971</v>
      </c>
      <c r="B91" s="21" t="s">
        <v>32</v>
      </c>
      <c r="C91" s="5" t="s">
        <v>40</v>
      </c>
      <c r="D91" s="5" t="s">
        <v>19</v>
      </c>
      <c r="E91" s="5" t="s">
        <v>28</v>
      </c>
      <c r="F91" s="5" t="s">
        <v>24</v>
      </c>
      <c r="G91" s="4">
        <v>3</v>
      </c>
      <c r="H91">
        <v>200</v>
      </c>
      <c r="I91" s="3">
        <v>600</v>
      </c>
      <c r="J91" s="2">
        <v>0.05</v>
      </c>
      <c r="K91" s="3">
        <v>30</v>
      </c>
      <c r="L91" s="3">
        <v>570</v>
      </c>
      <c r="M91" s="5" t="s">
        <v>25</v>
      </c>
      <c r="N91" s="5" t="s">
        <v>12</v>
      </c>
      <c r="O91" s="5" t="s">
        <v>41</v>
      </c>
      <c r="P91"/>
      <c r="Q91"/>
    </row>
    <row r="92" spans="1:17" x14ac:dyDescent="0.25">
      <c r="A92" s="1">
        <v>45994</v>
      </c>
      <c r="B92" s="21" t="s">
        <v>39</v>
      </c>
      <c r="C92" s="5" t="s">
        <v>37</v>
      </c>
      <c r="D92" s="5" t="s">
        <v>23</v>
      </c>
      <c r="E92" s="5" t="s">
        <v>20</v>
      </c>
      <c r="F92" s="5" t="s">
        <v>14</v>
      </c>
      <c r="G92" s="4">
        <v>2</v>
      </c>
      <c r="H92">
        <v>49.9</v>
      </c>
      <c r="I92" s="3">
        <v>99.8</v>
      </c>
      <c r="J92" s="2">
        <v>0.1</v>
      </c>
      <c r="K92" s="3">
        <v>9.98</v>
      </c>
      <c r="L92" s="3">
        <v>89.82</v>
      </c>
      <c r="M92" s="5" t="s">
        <v>38</v>
      </c>
      <c r="N92" s="5" t="s">
        <v>41</v>
      </c>
      <c r="O92" s="5" t="s">
        <v>13</v>
      </c>
      <c r="P92"/>
      <c r="Q92"/>
    </row>
    <row r="93" spans="1:17" x14ac:dyDescent="0.25">
      <c r="A93" s="1">
        <v>45939</v>
      </c>
      <c r="B93" s="21" t="s">
        <v>32</v>
      </c>
      <c r="C93" s="5" t="s">
        <v>40</v>
      </c>
      <c r="D93" s="5" t="s">
        <v>19</v>
      </c>
      <c r="E93" s="5" t="s">
        <v>28</v>
      </c>
      <c r="F93" s="5" t="s">
        <v>21</v>
      </c>
      <c r="G93" s="4">
        <v>3</v>
      </c>
      <c r="H93">
        <v>49.9</v>
      </c>
      <c r="I93" s="3">
        <v>149.69999999999999</v>
      </c>
      <c r="J93" s="2">
        <v>0.05</v>
      </c>
      <c r="K93" s="3">
        <v>7.4850000000000003</v>
      </c>
      <c r="L93" s="3">
        <v>142.215</v>
      </c>
      <c r="M93" s="5" t="s">
        <v>25</v>
      </c>
      <c r="N93" s="5" t="s">
        <v>26</v>
      </c>
      <c r="O93" s="5" t="s">
        <v>41</v>
      </c>
      <c r="P93"/>
      <c r="Q93"/>
    </row>
    <row r="94" spans="1:17" x14ac:dyDescent="0.25">
      <c r="A94" s="1">
        <v>45969</v>
      </c>
      <c r="B94" s="21" t="s">
        <v>34</v>
      </c>
      <c r="C94" s="5" t="s">
        <v>40</v>
      </c>
      <c r="D94" s="5" t="s">
        <v>23</v>
      </c>
      <c r="E94" s="5" t="s">
        <v>28</v>
      </c>
      <c r="F94" s="5" t="s">
        <v>24</v>
      </c>
      <c r="G94" s="4">
        <v>2</v>
      </c>
      <c r="H94">
        <v>49.9</v>
      </c>
      <c r="I94" s="3">
        <v>99.8</v>
      </c>
      <c r="J94" s="2">
        <v>0.1</v>
      </c>
      <c r="K94" s="3">
        <v>9.98</v>
      </c>
      <c r="L94" s="3">
        <v>89.82</v>
      </c>
      <c r="M94" s="5" t="s">
        <v>44</v>
      </c>
      <c r="N94" s="5" t="s">
        <v>15</v>
      </c>
      <c r="O94" s="5" t="s">
        <v>41</v>
      </c>
      <c r="P94"/>
      <c r="Q94"/>
    </row>
    <row r="95" spans="1:17" x14ac:dyDescent="0.25">
      <c r="A95" s="1">
        <v>45968</v>
      </c>
      <c r="B95" s="21" t="s">
        <v>16</v>
      </c>
      <c r="C95" s="5" t="s">
        <v>40</v>
      </c>
      <c r="D95" s="5" t="s">
        <v>19</v>
      </c>
      <c r="E95" s="5" t="s">
        <v>28</v>
      </c>
      <c r="F95" s="5" t="s">
        <v>11</v>
      </c>
      <c r="G95" s="4">
        <v>3</v>
      </c>
      <c r="H95">
        <v>49.9</v>
      </c>
      <c r="I95" s="3">
        <v>149.69999999999999</v>
      </c>
      <c r="J95" s="2">
        <v>0.05</v>
      </c>
      <c r="K95" s="3">
        <v>7.4850000000000003</v>
      </c>
      <c r="L95" s="3">
        <v>142.215</v>
      </c>
      <c r="M95" s="5" t="s">
        <v>38</v>
      </c>
      <c r="N95" s="5" t="s">
        <v>12</v>
      </c>
      <c r="O95" s="5" t="s">
        <v>41</v>
      </c>
      <c r="P95"/>
      <c r="Q95"/>
    </row>
    <row r="96" spans="1:17" x14ac:dyDescent="0.25">
      <c r="A96" s="1">
        <v>46013</v>
      </c>
      <c r="B96" s="21" t="s">
        <v>35</v>
      </c>
      <c r="C96" s="5" t="s">
        <v>40</v>
      </c>
      <c r="D96" s="5" t="s">
        <v>17</v>
      </c>
      <c r="E96" s="5" t="s">
        <v>41</v>
      </c>
      <c r="F96" s="5" t="s">
        <v>21</v>
      </c>
      <c r="G96" s="4">
        <v>2</v>
      </c>
      <c r="H96">
        <v>199.99</v>
      </c>
      <c r="I96" s="3">
        <v>399.98</v>
      </c>
      <c r="J96" s="2">
        <v>0.05</v>
      </c>
      <c r="K96" s="3">
        <v>19.998999999999999</v>
      </c>
      <c r="L96" s="3">
        <v>379.98099999999999</v>
      </c>
      <c r="M96" s="5" t="s">
        <v>25</v>
      </c>
      <c r="N96" s="5" t="s">
        <v>41</v>
      </c>
      <c r="O96" s="5" t="s">
        <v>41</v>
      </c>
      <c r="P96"/>
      <c r="Q96"/>
    </row>
    <row r="97" spans="1:17" x14ac:dyDescent="0.25">
      <c r="A97" s="1">
        <v>45946</v>
      </c>
      <c r="B97" s="21" t="s">
        <v>35</v>
      </c>
      <c r="C97" s="5" t="s">
        <v>40</v>
      </c>
      <c r="D97" s="5" t="s">
        <v>17</v>
      </c>
      <c r="E97" s="5" t="s">
        <v>28</v>
      </c>
      <c r="F97" s="5" t="s">
        <v>14</v>
      </c>
      <c r="G97" s="4">
        <v>1</v>
      </c>
      <c r="H97">
        <v>49.9</v>
      </c>
      <c r="I97" s="3">
        <v>49.9</v>
      </c>
      <c r="J97" s="2">
        <v>0.1</v>
      </c>
      <c r="K97" s="3">
        <v>4.99</v>
      </c>
      <c r="L97" s="3">
        <v>44.91</v>
      </c>
      <c r="M97" s="5" t="s">
        <v>25</v>
      </c>
      <c r="N97" s="5" t="s">
        <v>12</v>
      </c>
      <c r="O97" s="5" t="s">
        <v>27</v>
      </c>
      <c r="P97"/>
      <c r="Q97"/>
    </row>
    <row r="98" spans="1:17" x14ac:dyDescent="0.25">
      <c r="A98" s="1">
        <v>46005</v>
      </c>
      <c r="B98" s="21" t="s">
        <v>35</v>
      </c>
      <c r="C98" s="5" t="s">
        <v>40</v>
      </c>
      <c r="D98" s="5" t="s">
        <v>17</v>
      </c>
      <c r="E98" s="5" t="s">
        <v>28</v>
      </c>
      <c r="F98" s="5" t="s">
        <v>11</v>
      </c>
      <c r="G98" s="4">
        <v>2</v>
      </c>
      <c r="H98">
        <v>199.99</v>
      </c>
      <c r="I98" s="3">
        <v>399.98</v>
      </c>
      <c r="J98" s="2">
        <v>0</v>
      </c>
      <c r="K98" s="3">
        <v>0</v>
      </c>
      <c r="L98" s="3">
        <v>399.98</v>
      </c>
      <c r="M98" s="5" t="s">
        <v>38</v>
      </c>
      <c r="N98" s="5" t="s">
        <v>12</v>
      </c>
      <c r="O98" s="5" t="s">
        <v>41</v>
      </c>
      <c r="P98"/>
      <c r="Q98"/>
    </row>
    <row r="99" spans="1:17" x14ac:dyDescent="0.25">
      <c r="A99" s="1">
        <v>45987</v>
      </c>
      <c r="B99" s="21" t="s">
        <v>30</v>
      </c>
      <c r="C99" s="5" t="s">
        <v>40</v>
      </c>
      <c r="D99" s="5" t="s">
        <v>19</v>
      </c>
      <c r="E99" s="5" t="s">
        <v>28</v>
      </c>
      <c r="F99" s="5" t="s">
        <v>14</v>
      </c>
      <c r="G99" s="4">
        <v>2</v>
      </c>
      <c r="H99">
        <v>120</v>
      </c>
      <c r="I99" s="3">
        <v>240</v>
      </c>
      <c r="J99" s="2">
        <v>0</v>
      </c>
      <c r="K99" s="3">
        <v>0</v>
      </c>
      <c r="L99" s="3">
        <v>240</v>
      </c>
      <c r="M99" s="5" t="s">
        <v>38</v>
      </c>
      <c r="N99" s="5" t="s">
        <v>15</v>
      </c>
      <c r="O99" s="5" t="s">
        <v>41</v>
      </c>
      <c r="P99"/>
      <c r="Q99"/>
    </row>
    <row r="100" spans="1:17" x14ac:dyDescent="0.25">
      <c r="A100" s="1">
        <v>45996</v>
      </c>
      <c r="B100" s="21" t="s">
        <v>33</v>
      </c>
      <c r="C100" s="5" t="s">
        <v>37</v>
      </c>
      <c r="D100" s="5" t="s">
        <v>17</v>
      </c>
      <c r="E100" s="5" t="s">
        <v>41</v>
      </c>
      <c r="F100" s="5" t="s">
        <v>14</v>
      </c>
      <c r="G100" s="4">
        <v>3</v>
      </c>
      <c r="H100">
        <v>120</v>
      </c>
      <c r="I100" s="3">
        <v>360</v>
      </c>
      <c r="J100" s="2">
        <v>0.1</v>
      </c>
      <c r="K100" s="3">
        <v>36</v>
      </c>
      <c r="L100" s="3">
        <v>324</v>
      </c>
      <c r="M100" s="5" t="s">
        <v>25</v>
      </c>
      <c r="N100" s="5" t="s">
        <v>26</v>
      </c>
      <c r="O100" s="5" t="s">
        <v>13</v>
      </c>
      <c r="P100"/>
      <c r="Q100"/>
    </row>
    <row r="101" spans="1:17" x14ac:dyDescent="0.25">
      <c r="A101" s="1">
        <v>45941</v>
      </c>
      <c r="B101" s="21" t="s">
        <v>30</v>
      </c>
      <c r="C101" s="5" t="s">
        <v>37</v>
      </c>
      <c r="D101" s="5" t="s">
        <v>19</v>
      </c>
      <c r="E101" s="5" t="s">
        <v>28</v>
      </c>
      <c r="F101" s="5" t="s">
        <v>21</v>
      </c>
      <c r="G101" s="4">
        <v>3</v>
      </c>
      <c r="H101">
        <v>120</v>
      </c>
      <c r="I101" s="3">
        <v>360</v>
      </c>
      <c r="J101" s="2">
        <v>0.1</v>
      </c>
      <c r="K101" s="3">
        <v>36</v>
      </c>
      <c r="L101" s="3">
        <v>324</v>
      </c>
      <c r="M101" s="5" t="s">
        <v>25</v>
      </c>
      <c r="N101" s="5" t="s">
        <v>22</v>
      </c>
      <c r="O101" s="5" t="s">
        <v>18</v>
      </c>
      <c r="P101"/>
      <c r="Q101"/>
    </row>
  </sheetData>
  <phoneticPr fontId="7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762D0-68A0-4314-A43A-03C1FC36CEDE}">
  <dimension ref="A1:AE19"/>
  <sheetViews>
    <sheetView zoomScaleNormal="100" workbookViewId="0">
      <selection activeCell="G2" sqref="G2"/>
    </sheetView>
  </sheetViews>
  <sheetFormatPr defaultRowHeight="15" x14ac:dyDescent="0.25"/>
  <cols>
    <col min="1" max="1" width="22.5703125" bestFit="1" customWidth="1"/>
    <col min="2" max="2" width="19.140625" bestFit="1" customWidth="1"/>
    <col min="3" max="3" width="6.140625" bestFit="1" customWidth="1"/>
    <col min="4" max="4" width="13.28515625" bestFit="1" customWidth="1"/>
    <col min="5" max="5" width="22.5703125" bestFit="1" customWidth="1"/>
    <col min="6" max="6" width="19.85546875" bestFit="1" customWidth="1"/>
    <col min="7" max="7" width="15.7109375" bestFit="1" customWidth="1"/>
    <col min="8" max="8" width="22.5703125" bestFit="1" customWidth="1"/>
    <col min="9" max="9" width="19.140625" bestFit="1" customWidth="1"/>
    <col min="10" max="10" width="13.85546875" bestFit="1" customWidth="1"/>
    <col min="11" max="11" width="22.5703125" bestFit="1" customWidth="1"/>
    <col min="12" max="12" width="20.140625" bestFit="1" customWidth="1"/>
    <col min="13" max="13" width="6.140625" bestFit="1" customWidth="1"/>
    <col min="14" max="14" width="7.140625" bestFit="1" customWidth="1"/>
    <col min="15" max="15" width="10.7109375" bestFit="1" customWidth="1"/>
    <col min="16" max="16" width="13.140625" bestFit="1" customWidth="1"/>
    <col min="17" max="17" width="18.42578125" bestFit="1" customWidth="1"/>
    <col min="18" max="18" width="20.85546875" bestFit="1" customWidth="1"/>
    <col min="19" max="19" width="10.7109375" bestFit="1" customWidth="1"/>
    <col min="20" max="20" width="18.42578125" bestFit="1" customWidth="1"/>
    <col min="21" max="21" width="22.5703125" bestFit="1" customWidth="1"/>
    <col min="23" max="23" width="18.42578125" bestFit="1" customWidth="1"/>
    <col min="24" max="24" width="19.85546875" bestFit="1" customWidth="1"/>
    <col min="26" max="26" width="18.42578125" bestFit="1" customWidth="1"/>
    <col min="27" max="27" width="19.140625" bestFit="1" customWidth="1"/>
    <col min="29" max="29" width="19.28515625" bestFit="1" customWidth="1"/>
    <col min="30" max="30" width="19.140625" bestFit="1" customWidth="1"/>
    <col min="31" max="31" width="12.140625" bestFit="1" customWidth="1"/>
  </cols>
  <sheetData>
    <row r="1" spans="1:31" x14ac:dyDescent="0.25">
      <c r="A1" s="22" t="s">
        <v>68</v>
      </c>
      <c r="B1" t="s">
        <v>70</v>
      </c>
      <c r="E1" s="22" t="s">
        <v>68</v>
      </c>
      <c r="F1" t="s">
        <v>81</v>
      </c>
      <c r="H1" s="22" t="s">
        <v>68</v>
      </c>
      <c r="I1" t="s">
        <v>70</v>
      </c>
      <c r="K1" s="22" t="s">
        <v>73</v>
      </c>
      <c r="L1" s="22" t="s">
        <v>71</v>
      </c>
      <c r="Q1" s="22" t="s">
        <v>68</v>
      </c>
      <c r="R1" t="s">
        <v>74</v>
      </c>
      <c r="T1" s="22" t="s">
        <v>68</v>
      </c>
      <c r="U1" t="s">
        <v>78</v>
      </c>
      <c r="W1" s="22" t="s">
        <v>68</v>
      </c>
      <c r="X1" t="s">
        <v>81</v>
      </c>
      <c r="Z1" s="22" t="s">
        <v>68</v>
      </c>
      <c r="AA1" t="s">
        <v>70</v>
      </c>
      <c r="AC1" t="s">
        <v>72</v>
      </c>
      <c r="AD1" t="s">
        <v>70</v>
      </c>
    </row>
    <row r="2" spans="1:31" x14ac:dyDescent="0.25">
      <c r="A2" s="23" t="s">
        <v>30</v>
      </c>
      <c r="B2" s="24">
        <v>3789.9175</v>
      </c>
      <c r="E2" s="23" t="s">
        <v>30</v>
      </c>
      <c r="F2" s="4">
        <v>34</v>
      </c>
      <c r="G2">
        <f>GETPIVOTDATA("Quantidade",$E$1)</f>
        <v>231</v>
      </c>
      <c r="H2" s="23" t="s">
        <v>30</v>
      </c>
      <c r="I2" s="24">
        <v>3789.9175</v>
      </c>
      <c r="J2" s="3">
        <f>GETPIVOTDATA("Valor_Pago",$H$1)</f>
        <v>25891.415500000003</v>
      </c>
      <c r="K2" s="22" t="s">
        <v>68</v>
      </c>
      <c r="L2" s="2">
        <v>0</v>
      </c>
      <c r="M2" s="2">
        <v>0.05</v>
      </c>
      <c r="N2" s="2">
        <v>0.1</v>
      </c>
      <c r="O2" s="2" t="s">
        <v>69</v>
      </c>
      <c r="Q2" s="23" t="s">
        <v>75</v>
      </c>
      <c r="R2" s="21">
        <v>3</v>
      </c>
      <c r="T2" s="23" t="s">
        <v>19</v>
      </c>
      <c r="U2" s="21">
        <v>38</v>
      </c>
      <c r="W2" s="23" t="s">
        <v>24</v>
      </c>
      <c r="X2" s="4">
        <v>27</v>
      </c>
      <c r="Y2" t="str">
        <f>INDEX(W2:W5,MATCH(MAX(X2:X5),X2:X5,0))</f>
        <v>Carlos</v>
      </c>
      <c r="Z2" s="23" t="s">
        <v>24</v>
      </c>
      <c r="AA2" s="24">
        <v>2959.5170000000003</v>
      </c>
      <c r="AB2" t="str">
        <f>INDEX(Z2:Z5,MATCH(MAX(AA2:AA5),AA2:AA5,0))</f>
        <v>Carlos</v>
      </c>
      <c r="AC2" s="24">
        <v>27601.920000000006</v>
      </c>
      <c r="AD2" s="24">
        <v>25891.415499999999</v>
      </c>
      <c r="AE2" s="3">
        <f>SUM(GETPIVOTDATA("Soma de Valor_Total",$AC$1) -GETPIVOTDATA("Soma de Valor_Pago",$AC$1))</f>
        <v>1710.5045000000064</v>
      </c>
    </row>
    <row r="3" spans="1:31" x14ac:dyDescent="0.25">
      <c r="A3" s="23" t="s">
        <v>32</v>
      </c>
      <c r="B3" s="24">
        <v>1036.2149999999999</v>
      </c>
      <c r="E3" s="23" t="s">
        <v>32</v>
      </c>
      <c r="F3" s="4">
        <v>9</v>
      </c>
      <c r="H3" s="23" t="s">
        <v>32</v>
      </c>
      <c r="I3" s="24">
        <v>1036.2149999999999</v>
      </c>
      <c r="K3" s="23" t="s">
        <v>19</v>
      </c>
      <c r="L3" s="21">
        <v>9</v>
      </c>
      <c r="M3" s="21">
        <v>11</v>
      </c>
      <c r="N3" s="21">
        <v>18</v>
      </c>
      <c r="O3" s="21">
        <v>38</v>
      </c>
      <c r="Q3" s="23" t="s">
        <v>76</v>
      </c>
      <c r="R3" s="21">
        <v>38</v>
      </c>
      <c r="T3" s="23" t="s">
        <v>23</v>
      </c>
      <c r="U3" s="21">
        <v>17</v>
      </c>
      <c r="W3" s="23" t="s">
        <v>11</v>
      </c>
      <c r="X3" s="4">
        <v>69</v>
      </c>
      <c r="Z3" s="23" t="s">
        <v>11</v>
      </c>
      <c r="AA3" s="24">
        <v>8208.4904999999999</v>
      </c>
    </row>
    <row r="4" spans="1:31" x14ac:dyDescent="0.25">
      <c r="A4" s="23" t="s">
        <v>49</v>
      </c>
      <c r="B4" s="24">
        <v>1038</v>
      </c>
      <c r="E4" s="23" t="s">
        <v>49</v>
      </c>
      <c r="F4" s="4">
        <v>7</v>
      </c>
      <c r="H4" s="23" t="s">
        <v>49</v>
      </c>
      <c r="I4" s="24">
        <v>1038</v>
      </c>
      <c r="K4" s="23" t="s">
        <v>23</v>
      </c>
      <c r="L4" s="21">
        <v>2</v>
      </c>
      <c r="M4" s="21">
        <v>2</v>
      </c>
      <c r="N4" s="21">
        <v>13</v>
      </c>
      <c r="O4" s="21">
        <v>17</v>
      </c>
      <c r="Q4" s="23" t="s">
        <v>77</v>
      </c>
      <c r="R4" s="21">
        <v>36</v>
      </c>
      <c r="T4" s="23" t="s">
        <v>17</v>
      </c>
      <c r="U4" s="21">
        <v>45</v>
      </c>
      <c r="W4" s="23" t="s">
        <v>14</v>
      </c>
      <c r="X4" s="4">
        <v>56</v>
      </c>
      <c r="Z4" s="23" t="s">
        <v>14</v>
      </c>
      <c r="AA4" s="24">
        <v>5613.1959999999999</v>
      </c>
    </row>
    <row r="5" spans="1:31" x14ac:dyDescent="0.25">
      <c r="A5" s="23" t="s">
        <v>50</v>
      </c>
      <c r="B5" s="24">
        <v>360</v>
      </c>
      <c r="E5" s="23" t="s">
        <v>50</v>
      </c>
      <c r="F5" s="4">
        <v>3</v>
      </c>
      <c r="H5" s="23" t="s">
        <v>50</v>
      </c>
      <c r="I5" s="24">
        <v>360</v>
      </c>
      <c r="K5" s="23" t="s">
        <v>17</v>
      </c>
      <c r="L5" s="21">
        <v>18</v>
      </c>
      <c r="M5" s="21">
        <v>7</v>
      </c>
      <c r="N5" s="21">
        <v>20</v>
      </c>
      <c r="O5" s="21">
        <v>45</v>
      </c>
      <c r="Q5" s="23" t="s">
        <v>31</v>
      </c>
      <c r="R5" s="21">
        <v>23</v>
      </c>
      <c r="T5" s="23" t="s">
        <v>69</v>
      </c>
      <c r="U5" s="21">
        <v>100</v>
      </c>
      <c r="W5" s="23" t="s">
        <v>21</v>
      </c>
      <c r="X5" s="4">
        <v>79</v>
      </c>
      <c r="Z5" s="23" t="s">
        <v>21</v>
      </c>
      <c r="AA5" s="24">
        <v>9110.2119999999995</v>
      </c>
    </row>
    <row r="6" spans="1:31" x14ac:dyDescent="0.25">
      <c r="A6" s="23" t="s">
        <v>43</v>
      </c>
      <c r="B6" s="24">
        <v>2897.01</v>
      </c>
      <c r="E6" s="23" t="s">
        <v>43</v>
      </c>
      <c r="F6" s="4">
        <v>27</v>
      </c>
      <c r="H6" s="23" t="s">
        <v>43</v>
      </c>
      <c r="I6" s="24">
        <v>2897.01</v>
      </c>
      <c r="K6" s="23" t="s">
        <v>69</v>
      </c>
      <c r="L6" s="21">
        <v>29</v>
      </c>
      <c r="M6" s="21">
        <v>20</v>
      </c>
      <c r="N6" s="21">
        <v>51</v>
      </c>
      <c r="O6" s="21">
        <v>100</v>
      </c>
      <c r="Q6" s="23" t="s">
        <v>69</v>
      </c>
      <c r="R6" s="21">
        <v>100</v>
      </c>
      <c r="W6" s="23" t="s">
        <v>69</v>
      </c>
      <c r="X6" s="4">
        <v>231</v>
      </c>
      <c r="Z6" s="23" t="s">
        <v>69</v>
      </c>
      <c r="AA6" s="24">
        <v>25891.415499999999</v>
      </c>
    </row>
    <row r="7" spans="1:31" x14ac:dyDescent="0.25">
      <c r="A7" s="23" t="s">
        <v>35</v>
      </c>
      <c r="B7" s="24">
        <v>2237.3010000000004</v>
      </c>
      <c r="E7" s="23" t="s">
        <v>35</v>
      </c>
      <c r="F7" s="4">
        <v>20</v>
      </c>
      <c r="H7" s="23" t="s">
        <v>35</v>
      </c>
      <c r="I7" s="24">
        <v>2237.3010000000004</v>
      </c>
    </row>
    <row r="8" spans="1:31" x14ac:dyDescent="0.25">
      <c r="A8" s="23" t="s">
        <v>52</v>
      </c>
      <c r="B8" s="24">
        <v>240</v>
      </c>
      <c r="E8" s="23" t="s">
        <v>52</v>
      </c>
      <c r="F8" s="4">
        <v>2</v>
      </c>
      <c r="H8" s="23" t="s">
        <v>52</v>
      </c>
      <c r="I8" s="24">
        <v>240</v>
      </c>
    </row>
    <row r="9" spans="1:31" x14ac:dyDescent="0.25">
      <c r="A9" s="23" t="s">
        <v>46</v>
      </c>
      <c r="B9" s="24">
        <v>502.61</v>
      </c>
      <c r="E9" s="23" t="s">
        <v>46</v>
      </c>
      <c r="F9" s="4">
        <v>6</v>
      </c>
      <c r="H9" s="23" t="s">
        <v>46</v>
      </c>
      <c r="I9" s="24">
        <v>502.61</v>
      </c>
    </row>
    <row r="10" spans="1:31" x14ac:dyDescent="0.25">
      <c r="A10" s="23" t="s">
        <v>33</v>
      </c>
      <c r="B10" s="24">
        <v>2109.4899999999998</v>
      </c>
      <c r="E10" s="23" t="s">
        <v>33</v>
      </c>
      <c r="F10" s="4">
        <v>28</v>
      </c>
      <c r="H10" s="23" t="s">
        <v>33</v>
      </c>
      <c r="I10" s="24">
        <v>2109.4899999999998</v>
      </c>
    </row>
    <row r="11" spans="1:31" x14ac:dyDescent="0.25">
      <c r="A11" s="23" t="s">
        <v>47</v>
      </c>
      <c r="B11" s="24">
        <v>632.91</v>
      </c>
      <c r="E11" s="23" t="s">
        <v>47</v>
      </c>
      <c r="F11" s="4">
        <v>6</v>
      </c>
      <c r="H11" s="23" t="s">
        <v>47</v>
      </c>
      <c r="I11" s="24">
        <v>632.91</v>
      </c>
    </row>
    <row r="12" spans="1:31" x14ac:dyDescent="0.25">
      <c r="A12" s="23" t="s">
        <v>51</v>
      </c>
      <c r="B12" s="24">
        <v>1177.82</v>
      </c>
      <c r="E12" s="23" t="s">
        <v>51</v>
      </c>
      <c r="F12" s="4">
        <v>11</v>
      </c>
      <c r="H12" s="23" t="s">
        <v>51</v>
      </c>
      <c r="I12" s="24">
        <v>1177.82</v>
      </c>
    </row>
    <row r="13" spans="1:31" x14ac:dyDescent="0.25">
      <c r="A13" s="23" t="s">
        <v>16</v>
      </c>
      <c r="B13" s="24">
        <v>3495.703</v>
      </c>
      <c r="E13" s="23" t="s">
        <v>16</v>
      </c>
      <c r="F13" s="4">
        <v>32</v>
      </c>
      <c r="H13" s="23" t="s">
        <v>16</v>
      </c>
      <c r="I13" s="24">
        <v>3495.703</v>
      </c>
    </row>
    <row r="14" spans="1:31" x14ac:dyDescent="0.25">
      <c r="A14" s="23" t="s">
        <v>29</v>
      </c>
      <c r="B14" s="24">
        <v>839.98199999999997</v>
      </c>
      <c r="E14" s="23" t="s">
        <v>29</v>
      </c>
      <c r="F14" s="4">
        <v>6</v>
      </c>
      <c r="H14" s="23" t="s">
        <v>29</v>
      </c>
      <c r="I14" s="24">
        <v>839.98199999999997</v>
      </c>
    </row>
    <row r="15" spans="1:31" x14ac:dyDescent="0.25">
      <c r="A15" s="23" t="s">
        <v>53</v>
      </c>
      <c r="B15" s="24">
        <v>44.91</v>
      </c>
      <c r="E15" s="23" t="s">
        <v>53</v>
      </c>
      <c r="F15" s="4">
        <v>1</v>
      </c>
      <c r="H15" s="23" t="s">
        <v>53</v>
      </c>
      <c r="I15" s="24">
        <v>44.91</v>
      </c>
    </row>
    <row r="16" spans="1:31" x14ac:dyDescent="0.25">
      <c r="A16" s="23" t="s">
        <v>39</v>
      </c>
      <c r="B16" s="24">
        <v>2757.7840000000001</v>
      </c>
      <c r="E16" s="23" t="s">
        <v>39</v>
      </c>
      <c r="F16" s="4">
        <v>19</v>
      </c>
      <c r="H16" s="23" t="s">
        <v>39</v>
      </c>
      <c r="I16" s="24">
        <v>2757.7840000000001</v>
      </c>
    </row>
    <row r="17" spans="1:9" x14ac:dyDescent="0.25">
      <c r="A17" s="23" t="s">
        <v>34</v>
      </c>
      <c r="B17" s="24">
        <v>861.82799999999997</v>
      </c>
      <c r="E17" s="23" t="s">
        <v>34</v>
      </c>
      <c r="F17" s="4">
        <v>10</v>
      </c>
      <c r="H17" s="23" t="s">
        <v>34</v>
      </c>
      <c r="I17" s="24">
        <v>861.82799999999997</v>
      </c>
    </row>
    <row r="18" spans="1:9" x14ac:dyDescent="0.25">
      <c r="A18" s="23" t="s">
        <v>48</v>
      </c>
      <c r="B18" s="24">
        <v>1869.9349999999999</v>
      </c>
      <c r="E18" s="23" t="s">
        <v>48</v>
      </c>
      <c r="F18" s="4">
        <v>10</v>
      </c>
      <c r="H18" s="23" t="s">
        <v>48</v>
      </c>
      <c r="I18" s="24">
        <v>1869.9349999999999</v>
      </c>
    </row>
    <row r="19" spans="1:9" x14ac:dyDescent="0.25">
      <c r="A19" s="23" t="s">
        <v>69</v>
      </c>
      <c r="B19" s="24">
        <v>25891.415500000003</v>
      </c>
      <c r="E19" s="23" t="s">
        <v>69</v>
      </c>
      <c r="F19" s="4">
        <v>231</v>
      </c>
      <c r="H19" s="23" t="s">
        <v>69</v>
      </c>
      <c r="I19" s="24">
        <v>25891.415500000003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E7B31-6EEE-4762-866B-1B869DB8BD14}">
  <dimension ref="A1:CJ302"/>
  <sheetViews>
    <sheetView showGridLines="0" tabSelected="1" topLeftCell="A12" zoomScale="85" zoomScaleNormal="85" workbookViewId="0">
      <selection activeCell="D40" sqref="D40"/>
    </sheetView>
  </sheetViews>
  <sheetFormatPr defaultRowHeight="15" x14ac:dyDescent="0.25"/>
  <cols>
    <col min="1" max="3" width="9.140625" style="26"/>
  </cols>
  <sheetData>
    <row r="1" spans="1:88" s="25" customFormat="1" ht="50.25" customHeight="1" x14ac:dyDescent="0.25">
      <c r="A1" s="26"/>
      <c r="B1" s="26"/>
      <c r="C1" s="26"/>
    </row>
    <row r="2" spans="1:88" s="25" customFormat="1" ht="51" customHeight="1" thickBot="1" x14ac:dyDescent="0.3">
      <c r="A2" s="26"/>
      <c r="B2" s="26"/>
      <c r="C2" s="26"/>
      <c r="J2" s="31" t="s">
        <v>80</v>
      </c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</row>
    <row r="3" spans="1:88" s="25" customFormat="1" ht="50.25" customHeight="1" thickTop="1" x14ac:dyDescent="0.25">
      <c r="A3" s="26"/>
      <c r="B3" s="26"/>
      <c r="C3" s="26"/>
    </row>
    <row r="4" spans="1:88" x14ac:dyDescent="0.25"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x14ac:dyDescent="0.25"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x14ac:dyDescent="0.25"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x14ac:dyDescent="0.25"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x14ac:dyDescent="0.25"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x14ac:dyDescent="0.25"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x14ac:dyDescent="0.25"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x14ac:dyDescent="0.25"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4:88" x14ac:dyDescent="0.25"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4:88" x14ac:dyDescent="0.25"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4:88" x14ac:dyDescent="0.25"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4:88" x14ac:dyDescent="0.25"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4:88" x14ac:dyDescent="0.25"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4:88" x14ac:dyDescent="0.25"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4:88" x14ac:dyDescent="0.25"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4:88" x14ac:dyDescent="0.25"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4:88" x14ac:dyDescent="0.25"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4:88" x14ac:dyDescent="0.25"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4:88" x14ac:dyDescent="0.25"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4:88" x14ac:dyDescent="0.25"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4:88" x14ac:dyDescent="0.25"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4:88" x14ac:dyDescent="0.25"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4:88" x14ac:dyDescent="0.25"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4:88" x14ac:dyDescent="0.25"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4:88" x14ac:dyDescent="0.25"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4:88" x14ac:dyDescent="0.25"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4:88" x14ac:dyDescent="0.25"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4:88" x14ac:dyDescent="0.25"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4:88" x14ac:dyDescent="0.25"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4:88" x14ac:dyDescent="0.25"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4:88" x14ac:dyDescent="0.25"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4:88" x14ac:dyDescent="0.25"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4:88" x14ac:dyDescent="0.25"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4:88" x14ac:dyDescent="0.25"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4:88" x14ac:dyDescent="0.25"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4:88" x14ac:dyDescent="0.25"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4:88" x14ac:dyDescent="0.25"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4:88" x14ac:dyDescent="0.25"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</row>
    <row r="47" spans="4:88" x14ac:dyDescent="0.25"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</row>
    <row r="48" spans="4:88" x14ac:dyDescent="0.25"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</row>
    <row r="49" spans="4:88" x14ac:dyDescent="0.25"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</row>
    <row r="50" spans="4:88" x14ac:dyDescent="0.25"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</row>
    <row r="51" spans="4:88" x14ac:dyDescent="0.25"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</row>
    <row r="52" spans="4:88" x14ac:dyDescent="0.25"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</row>
    <row r="53" spans="4:88" x14ac:dyDescent="0.25"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</row>
    <row r="54" spans="4:88" x14ac:dyDescent="0.25"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7"/>
      <c r="CI54" s="27"/>
      <c r="CJ54" s="27"/>
    </row>
    <row r="55" spans="4:88" x14ac:dyDescent="0.25"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7"/>
      <c r="CJ55" s="27"/>
    </row>
    <row r="56" spans="4:88" x14ac:dyDescent="0.25"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</row>
    <row r="57" spans="4:88" x14ac:dyDescent="0.25"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</row>
    <row r="58" spans="4:88" x14ac:dyDescent="0.25"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  <c r="BX58" s="27"/>
      <c r="BY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</row>
    <row r="59" spans="4:88" x14ac:dyDescent="0.25"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</row>
    <row r="60" spans="4:88" x14ac:dyDescent="0.25"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  <c r="CA60" s="27"/>
      <c r="CB60" s="27"/>
      <c r="CC60" s="27"/>
      <c r="CD60" s="27"/>
      <c r="CE60" s="27"/>
      <c r="CF60" s="27"/>
      <c r="CG60" s="27"/>
      <c r="CH60" s="27"/>
      <c r="CI60" s="27"/>
      <c r="CJ60" s="27"/>
    </row>
    <row r="61" spans="4:88" x14ac:dyDescent="0.25"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7"/>
      <c r="CA61" s="27"/>
      <c r="CB61" s="27"/>
      <c r="CC61" s="27"/>
      <c r="CD61" s="27"/>
      <c r="CE61" s="27"/>
      <c r="CF61" s="27"/>
      <c r="CG61" s="27"/>
      <c r="CH61" s="27"/>
      <c r="CI61" s="27"/>
      <c r="CJ61" s="27"/>
    </row>
    <row r="62" spans="4:88" x14ac:dyDescent="0.25"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</row>
    <row r="63" spans="4:88" x14ac:dyDescent="0.25"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  <c r="BX63" s="27"/>
      <c r="BY63" s="27"/>
      <c r="BZ63" s="27"/>
      <c r="CA63" s="27"/>
      <c r="CB63" s="27"/>
      <c r="CC63" s="27"/>
      <c r="CD63" s="27"/>
      <c r="CE63" s="27"/>
      <c r="CF63" s="27"/>
      <c r="CG63" s="27"/>
      <c r="CH63" s="27"/>
      <c r="CI63" s="27"/>
      <c r="CJ63" s="27"/>
    </row>
    <row r="64" spans="4:88" x14ac:dyDescent="0.25"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7"/>
      <c r="CI64" s="27"/>
      <c r="CJ64" s="27"/>
    </row>
    <row r="65" spans="4:88" x14ac:dyDescent="0.25"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  <c r="CE65" s="27"/>
      <c r="CF65" s="27"/>
      <c r="CG65" s="27"/>
      <c r="CH65" s="27"/>
      <c r="CI65" s="27"/>
      <c r="CJ65" s="27"/>
    </row>
    <row r="66" spans="4:88" x14ac:dyDescent="0.25"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  <c r="CE66" s="27"/>
      <c r="CF66" s="27"/>
      <c r="CG66" s="27"/>
      <c r="CH66" s="27"/>
      <c r="CI66" s="27"/>
      <c r="CJ66" s="27"/>
    </row>
    <row r="67" spans="4:88" x14ac:dyDescent="0.25"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</row>
    <row r="68" spans="4:88" x14ac:dyDescent="0.25"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  <c r="BX68" s="27"/>
      <c r="BY68" s="27"/>
      <c r="BZ68" s="27"/>
      <c r="CA68" s="27"/>
      <c r="CB68" s="27"/>
      <c r="CC68" s="27"/>
      <c r="CD68" s="27"/>
      <c r="CE68" s="27"/>
      <c r="CF68" s="27"/>
      <c r="CG68" s="27"/>
      <c r="CH68" s="27"/>
      <c r="CI68" s="27"/>
      <c r="CJ68" s="27"/>
    </row>
    <row r="69" spans="4:88" x14ac:dyDescent="0.25"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27"/>
      <c r="CA69" s="27"/>
      <c r="CB69" s="27"/>
      <c r="CC69" s="27"/>
      <c r="CD69" s="27"/>
      <c r="CE69" s="27"/>
      <c r="CF69" s="27"/>
      <c r="CG69" s="27"/>
      <c r="CH69" s="27"/>
      <c r="CI69" s="27"/>
      <c r="CJ69" s="27"/>
    </row>
    <row r="70" spans="4:88" x14ac:dyDescent="0.25"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  <c r="BX70" s="27"/>
      <c r="BY70" s="27"/>
      <c r="BZ70" s="27"/>
      <c r="CA70" s="27"/>
      <c r="CB70" s="27"/>
      <c r="CC70" s="27"/>
      <c r="CD70" s="27"/>
      <c r="CE70" s="27"/>
      <c r="CF70" s="27"/>
      <c r="CG70" s="27"/>
      <c r="CH70" s="27"/>
      <c r="CI70" s="27"/>
      <c r="CJ70" s="27"/>
    </row>
    <row r="71" spans="4:88" x14ac:dyDescent="0.25"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7"/>
      <c r="CE71" s="27"/>
      <c r="CF71" s="27"/>
      <c r="CG71" s="27"/>
      <c r="CH71" s="27"/>
      <c r="CI71" s="27"/>
      <c r="CJ71" s="27"/>
    </row>
    <row r="72" spans="4:88" x14ac:dyDescent="0.25"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</row>
    <row r="73" spans="4:88" x14ac:dyDescent="0.25"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7"/>
      <c r="CE73" s="27"/>
      <c r="CF73" s="27"/>
      <c r="CG73" s="27"/>
      <c r="CH73" s="27"/>
      <c r="CI73" s="27"/>
      <c r="CJ73" s="27"/>
    </row>
    <row r="74" spans="4:88" x14ac:dyDescent="0.25"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/>
      <c r="CG74" s="27"/>
      <c r="CH74" s="27"/>
      <c r="CI74" s="27"/>
      <c r="CJ74" s="27"/>
    </row>
    <row r="75" spans="4:88" x14ac:dyDescent="0.25"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</row>
    <row r="76" spans="4:88" x14ac:dyDescent="0.25"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</row>
    <row r="77" spans="4:88" x14ac:dyDescent="0.25"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</row>
    <row r="78" spans="4:88" x14ac:dyDescent="0.25"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H78" s="27"/>
      <c r="CI78" s="27"/>
      <c r="CJ78" s="27"/>
    </row>
    <row r="79" spans="4:88" x14ac:dyDescent="0.25"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</row>
    <row r="80" spans="4:88" x14ac:dyDescent="0.25"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</row>
    <row r="81" spans="4:88" x14ac:dyDescent="0.25"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  <c r="BZ81" s="27"/>
      <c r="CA81" s="27"/>
      <c r="CB81" s="27"/>
      <c r="CC81" s="27"/>
      <c r="CD81" s="27"/>
      <c r="CE81" s="27"/>
      <c r="CF81" s="27"/>
      <c r="CG81" s="27"/>
      <c r="CH81" s="27"/>
      <c r="CI81" s="27"/>
      <c r="CJ81" s="27"/>
    </row>
    <row r="82" spans="4:88" x14ac:dyDescent="0.25"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  <c r="CI82" s="27"/>
      <c r="CJ82" s="27"/>
    </row>
    <row r="83" spans="4:88" x14ac:dyDescent="0.25"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7"/>
      <c r="CB83" s="27"/>
      <c r="CC83" s="27"/>
      <c r="CD83" s="27"/>
      <c r="CE83" s="27"/>
      <c r="CF83" s="27"/>
      <c r="CG83" s="27"/>
      <c r="CH83" s="27"/>
      <c r="CI83" s="27"/>
      <c r="CJ83" s="27"/>
    </row>
    <row r="84" spans="4:88" x14ac:dyDescent="0.25"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  <c r="BZ84" s="27"/>
      <c r="CA84" s="27"/>
      <c r="CB84" s="27"/>
      <c r="CC84" s="27"/>
      <c r="CD84" s="27"/>
      <c r="CE84" s="27"/>
      <c r="CF84" s="27"/>
      <c r="CG84" s="27"/>
      <c r="CH84" s="27"/>
      <c r="CI84" s="27"/>
      <c r="CJ84" s="27"/>
    </row>
    <row r="85" spans="4:88" x14ac:dyDescent="0.25"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  <c r="BX85" s="27"/>
      <c r="BY85" s="27"/>
      <c r="BZ85" s="27"/>
      <c r="CA85" s="27"/>
      <c r="CB85" s="27"/>
      <c r="CC85" s="27"/>
      <c r="CD85" s="27"/>
      <c r="CE85" s="27"/>
      <c r="CF85" s="27"/>
      <c r="CG85" s="27"/>
      <c r="CH85" s="27"/>
      <c r="CI85" s="27"/>
      <c r="CJ85" s="27"/>
    </row>
    <row r="86" spans="4:88" x14ac:dyDescent="0.25"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  <c r="CA86" s="27"/>
      <c r="CB86" s="27"/>
      <c r="CC86" s="27"/>
      <c r="CD86" s="27"/>
      <c r="CE86" s="27"/>
      <c r="CF86" s="27"/>
      <c r="CG86" s="27"/>
      <c r="CH86" s="27"/>
      <c r="CI86" s="27"/>
      <c r="CJ86" s="27"/>
    </row>
    <row r="87" spans="4:88" x14ac:dyDescent="0.25"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</row>
    <row r="88" spans="4:88" x14ac:dyDescent="0.25"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  <c r="BX88" s="27"/>
      <c r="BY88" s="27"/>
      <c r="BZ88" s="27"/>
      <c r="CA88" s="27"/>
      <c r="CB88" s="27"/>
      <c r="CC88" s="27"/>
      <c r="CD88" s="27"/>
      <c r="CE88" s="27"/>
      <c r="CF88" s="27"/>
      <c r="CG88" s="27"/>
      <c r="CH88" s="27"/>
      <c r="CI88" s="27"/>
      <c r="CJ88" s="27"/>
    </row>
    <row r="89" spans="4:88" x14ac:dyDescent="0.25"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7"/>
      <c r="CC89" s="27"/>
      <c r="CD89" s="27"/>
      <c r="CE89" s="27"/>
      <c r="CF89" s="27"/>
      <c r="CG89" s="27"/>
      <c r="CH89" s="27"/>
      <c r="CI89" s="27"/>
      <c r="CJ89" s="27"/>
    </row>
    <row r="90" spans="4:88" x14ac:dyDescent="0.25"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  <c r="BX90" s="27"/>
      <c r="BY90" s="27"/>
      <c r="BZ90" s="27"/>
      <c r="CA90" s="27"/>
      <c r="CB90" s="27"/>
      <c r="CC90" s="27"/>
      <c r="CD90" s="27"/>
      <c r="CE90" s="27"/>
      <c r="CF90" s="27"/>
      <c r="CG90" s="27"/>
      <c r="CH90" s="27"/>
      <c r="CI90" s="27"/>
      <c r="CJ90" s="27"/>
    </row>
    <row r="91" spans="4:88" x14ac:dyDescent="0.25"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  <c r="BX91" s="27"/>
      <c r="BY91" s="27"/>
      <c r="BZ91" s="27"/>
      <c r="CA91" s="27"/>
      <c r="CB91" s="27"/>
      <c r="CC91" s="27"/>
      <c r="CD91" s="27"/>
      <c r="CE91" s="27"/>
      <c r="CF91" s="27"/>
      <c r="CG91" s="27"/>
      <c r="CH91" s="27"/>
      <c r="CI91" s="27"/>
      <c r="CJ91" s="27"/>
    </row>
    <row r="92" spans="4:88" x14ac:dyDescent="0.25"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</row>
    <row r="93" spans="4:88" x14ac:dyDescent="0.25"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  <c r="BU93" s="27"/>
      <c r="BV93" s="27"/>
      <c r="BW93" s="27"/>
      <c r="BX93" s="27"/>
      <c r="BY93" s="27"/>
      <c r="BZ93" s="27"/>
      <c r="CA93" s="27"/>
      <c r="CB93" s="27"/>
      <c r="CC93" s="27"/>
      <c r="CD93" s="27"/>
      <c r="CE93" s="27"/>
      <c r="CF93" s="27"/>
      <c r="CG93" s="27"/>
      <c r="CH93" s="27"/>
      <c r="CI93" s="27"/>
      <c r="CJ93" s="27"/>
    </row>
    <row r="94" spans="4:88" x14ac:dyDescent="0.25"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/>
      <c r="CC94" s="27"/>
      <c r="CD94" s="27"/>
      <c r="CE94" s="27"/>
      <c r="CF94" s="27"/>
      <c r="CG94" s="27"/>
      <c r="CH94" s="27"/>
      <c r="CI94" s="27"/>
      <c r="CJ94" s="27"/>
    </row>
    <row r="95" spans="4:88" x14ac:dyDescent="0.25"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  <c r="CA95" s="27"/>
      <c r="CB95" s="27"/>
      <c r="CC95" s="27"/>
      <c r="CD95" s="27"/>
      <c r="CE95" s="27"/>
      <c r="CF95" s="27"/>
      <c r="CG95" s="27"/>
      <c r="CH95" s="27"/>
      <c r="CI95" s="27"/>
      <c r="CJ95" s="27"/>
    </row>
    <row r="96" spans="4:88" x14ac:dyDescent="0.25"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  <c r="CA96" s="27"/>
      <c r="CB96" s="27"/>
      <c r="CC96" s="27"/>
      <c r="CD96" s="27"/>
      <c r="CE96" s="27"/>
      <c r="CF96" s="27"/>
      <c r="CG96" s="27"/>
      <c r="CH96" s="27"/>
      <c r="CI96" s="27"/>
      <c r="CJ96" s="27"/>
    </row>
    <row r="97" spans="4:88" x14ac:dyDescent="0.25"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</row>
    <row r="98" spans="4:88" x14ac:dyDescent="0.25"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  <c r="CD98" s="27"/>
      <c r="CE98" s="27"/>
      <c r="CF98" s="27"/>
      <c r="CG98" s="27"/>
      <c r="CH98" s="27"/>
      <c r="CI98" s="27"/>
      <c r="CJ98" s="27"/>
    </row>
    <row r="99" spans="4:88" x14ac:dyDescent="0.25"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/>
      <c r="CH99" s="27"/>
      <c r="CI99" s="27"/>
      <c r="CJ99" s="27"/>
    </row>
    <row r="100" spans="4:88" x14ac:dyDescent="0.25"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  <c r="BW100" s="27"/>
      <c r="BX100" s="27"/>
      <c r="BY100" s="27"/>
      <c r="BZ100" s="27"/>
      <c r="CA100" s="27"/>
      <c r="CB100" s="27"/>
      <c r="CC100" s="27"/>
      <c r="CD100" s="27"/>
      <c r="CE100" s="27"/>
      <c r="CF100" s="27"/>
      <c r="CG100" s="27"/>
      <c r="CH100" s="27"/>
      <c r="CI100" s="27"/>
      <c r="CJ100" s="27"/>
    </row>
    <row r="101" spans="4:88" x14ac:dyDescent="0.25"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</row>
    <row r="102" spans="4:88" x14ac:dyDescent="0.25"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</row>
    <row r="103" spans="4:88" x14ac:dyDescent="0.25"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</row>
    <row r="104" spans="4:88" x14ac:dyDescent="0.25"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  <c r="BU104" s="27"/>
      <c r="BV104" s="27"/>
      <c r="BW104" s="27"/>
      <c r="BX104" s="27"/>
      <c r="BY104" s="27"/>
      <c r="BZ104" s="27"/>
      <c r="CA104" s="27"/>
      <c r="CB104" s="27"/>
      <c r="CC104" s="27"/>
      <c r="CD104" s="27"/>
      <c r="CE104" s="27"/>
      <c r="CF104" s="27"/>
      <c r="CG104" s="27"/>
      <c r="CH104" s="27"/>
      <c r="CI104" s="27"/>
      <c r="CJ104" s="27"/>
    </row>
    <row r="105" spans="4:88" x14ac:dyDescent="0.25"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  <c r="BP105" s="27"/>
      <c r="BQ105" s="27"/>
      <c r="BR105" s="27"/>
      <c r="BS105" s="27"/>
      <c r="BT105" s="27"/>
      <c r="BU105" s="27"/>
      <c r="BV105" s="27"/>
      <c r="BW105" s="27"/>
      <c r="BX105" s="27"/>
      <c r="BY105" s="27"/>
      <c r="BZ105" s="27"/>
      <c r="CA105" s="27"/>
      <c r="CB105" s="27"/>
      <c r="CC105" s="27"/>
      <c r="CD105" s="27"/>
      <c r="CE105" s="27"/>
      <c r="CF105" s="27"/>
      <c r="CG105" s="27"/>
      <c r="CH105" s="27"/>
      <c r="CI105" s="27"/>
      <c r="CJ105" s="27"/>
    </row>
    <row r="106" spans="4:88" x14ac:dyDescent="0.25"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  <c r="BU106" s="27"/>
      <c r="BV106" s="27"/>
      <c r="BW106" s="27"/>
      <c r="BX106" s="27"/>
      <c r="BY106" s="27"/>
      <c r="BZ106" s="27"/>
      <c r="CA106" s="27"/>
      <c r="CB106" s="27"/>
      <c r="CC106" s="27"/>
      <c r="CD106" s="27"/>
      <c r="CE106" s="27"/>
      <c r="CF106" s="27"/>
      <c r="CG106" s="27"/>
      <c r="CH106" s="27"/>
      <c r="CI106" s="27"/>
      <c r="CJ106" s="27"/>
    </row>
    <row r="107" spans="4:88" x14ac:dyDescent="0.25"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</row>
    <row r="108" spans="4:88" x14ac:dyDescent="0.25"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  <c r="BN108" s="27"/>
      <c r="BO108" s="27"/>
      <c r="BP108" s="27"/>
      <c r="BQ108" s="27"/>
      <c r="BR108" s="27"/>
      <c r="BS108" s="27"/>
      <c r="BT108" s="27"/>
      <c r="BU108" s="27"/>
      <c r="BV108" s="27"/>
      <c r="BW108" s="27"/>
      <c r="BX108" s="27"/>
      <c r="BY108" s="27"/>
      <c r="BZ108" s="27"/>
      <c r="CA108" s="27"/>
      <c r="CB108" s="27"/>
      <c r="CC108" s="27"/>
      <c r="CD108" s="27"/>
      <c r="CE108" s="27"/>
      <c r="CF108" s="27"/>
      <c r="CG108" s="27"/>
      <c r="CH108" s="27"/>
      <c r="CI108" s="27"/>
      <c r="CJ108" s="27"/>
    </row>
    <row r="109" spans="4:88" x14ac:dyDescent="0.25"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7"/>
      <c r="BN109" s="27"/>
      <c r="BO109" s="27"/>
      <c r="BP109" s="27"/>
      <c r="BQ109" s="27"/>
      <c r="BR109" s="27"/>
      <c r="BS109" s="27"/>
      <c r="BT109" s="27"/>
      <c r="BU109" s="27"/>
      <c r="BV109" s="27"/>
      <c r="BW109" s="27"/>
      <c r="BX109" s="27"/>
      <c r="BY109" s="27"/>
      <c r="BZ109" s="27"/>
      <c r="CA109" s="27"/>
      <c r="CB109" s="27"/>
      <c r="CC109" s="27"/>
      <c r="CD109" s="27"/>
      <c r="CE109" s="27"/>
      <c r="CF109" s="27"/>
      <c r="CG109" s="27"/>
      <c r="CH109" s="27"/>
      <c r="CI109" s="27"/>
      <c r="CJ109" s="27"/>
    </row>
    <row r="110" spans="4:88" x14ac:dyDescent="0.25"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  <c r="BP110" s="27"/>
      <c r="BQ110" s="27"/>
      <c r="BR110" s="27"/>
      <c r="BS110" s="27"/>
      <c r="BT110" s="27"/>
      <c r="BU110" s="27"/>
      <c r="BV110" s="27"/>
      <c r="BW110" s="27"/>
      <c r="BX110" s="27"/>
      <c r="BY110" s="27"/>
      <c r="BZ110" s="27"/>
      <c r="CA110" s="27"/>
      <c r="CB110" s="27"/>
      <c r="CC110" s="27"/>
      <c r="CD110" s="27"/>
      <c r="CE110" s="27"/>
      <c r="CF110" s="27"/>
      <c r="CG110" s="27"/>
      <c r="CH110" s="27"/>
      <c r="CI110" s="27"/>
      <c r="CJ110" s="27"/>
    </row>
    <row r="111" spans="4:88" x14ac:dyDescent="0.25"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7"/>
      <c r="BP111" s="27"/>
      <c r="BQ111" s="27"/>
      <c r="BR111" s="27"/>
      <c r="BS111" s="27"/>
      <c r="BT111" s="27"/>
      <c r="BU111" s="27"/>
      <c r="BV111" s="27"/>
      <c r="BW111" s="27"/>
      <c r="BX111" s="27"/>
      <c r="BY111" s="27"/>
      <c r="BZ111" s="27"/>
      <c r="CA111" s="27"/>
      <c r="CB111" s="27"/>
      <c r="CC111" s="27"/>
      <c r="CD111" s="27"/>
      <c r="CE111" s="27"/>
      <c r="CF111" s="27"/>
      <c r="CG111" s="27"/>
      <c r="CH111" s="27"/>
      <c r="CI111" s="27"/>
      <c r="CJ111" s="27"/>
    </row>
    <row r="112" spans="4:88" x14ac:dyDescent="0.25"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  <c r="BN112" s="27"/>
      <c r="BO112" s="27"/>
      <c r="BP112" s="27"/>
      <c r="BQ112" s="27"/>
      <c r="BR112" s="27"/>
      <c r="BS112" s="27"/>
      <c r="BT112" s="27"/>
      <c r="BU112" s="27"/>
      <c r="BV112" s="27"/>
      <c r="BW112" s="27"/>
      <c r="BX112" s="27"/>
      <c r="BY112" s="27"/>
      <c r="BZ112" s="27"/>
      <c r="CA112" s="27"/>
      <c r="CB112" s="27"/>
      <c r="CC112" s="27"/>
      <c r="CD112" s="27"/>
      <c r="CE112" s="27"/>
      <c r="CF112" s="27"/>
      <c r="CG112" s="27"/>
      <c r="CH112" s="27"/>
      <c r="CI112" s="27"/>
      <c r="CJ112" s="27"/>
    </row>
    <row r="113" spans="4:88" x14ac:dyDescent="0.25"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  <c r="BS113" s="27"/>
      <c r="BT113" s="27"/>
      <c r="BU113" s="27"/>
      <c r="BV113" s="27"/>
      <c r="BW113" s="27"/>
      <c r="BX113" s="27"/>
      <c r="BY113" s="27"/>
      <c r="BZ113" s="27"/>
      <c r="CA113" s="27"/>
      <c r="CB113" s="27"/>
      <c r="CC113" s="27"/>
      <c r="CD113" s="27"/>
      <c r="CE113" s="27"/>
      <c r="CF113" s="27"/>
      <c r="CG113" s="27"/>
      <c r="CH113" s="27"/>
      <c r="CI113" s="27"/>
      <c r="CJ113" s="27"/>
    </row>
    <row r="114" spans="4:88" x14ac:dyDescent="0.25"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27"/>
      <c r="BX114" s="27"/>
      <c r="BY114" s="27"/>
      <c r="BZ114" s="27"/>
      <c r="CA114" s="27"/>
      <c r="CB114" s="27"/>
      <c r="CC114" s="27"/>
      <c r="CD114" s="27"/>
      <c r="CE114" s="27"/>
      <c r="CF114" s="27"/>
      <c r="CG114" s="27"/>
      <c r="CH114" s="27"/>
      <c r="CI114" s="27"/>
      <c r="CJ114" s="27"/>
    </row>
    <row r="115" spans="4:88" x14ac:dyDescent="0.25"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27"/>
      <c r="BX115" s="27"/>
      <c r="BY115" s="27"/>
      <c r="BZ115" s="27"/>
      <c r="CA115" s="27"/>
      <c r="CB115" s="27"/>
      <c r="CC115" s="27"/>
      <c r="CD115" s="27"/>
      <c r="CE115" s="27"/>
      <c r="CF115" s="27"/>
      <c r="CG115" s="27"/>
      <c r="CH115" s="27"/>
      <c r="CI115" s="27"/>
      <c r="CJ115" s="27"/>
    </row>
    <row r="116" spans="4:88" x14ac:dyDescent="0.25"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27"/>
      <c r="BX116" s="27"/>
      <c r="BY116" s="27"/>
      <c r="BZ116" s="27"/>
      <c r="CA116" s="27"/>
      <c r="CB116" s="27"/>
      <c r="CC116" s="27"/>
      <c r="CD116" s="27"/>
      <c r="CE116" s="27"/>
      <c r="CF116" s="27"/>
      <c r="CG116" s="27"/>
      <c r="CH116" s="27"/>
      <c r="CI116" s="27"/>
      <c r="CJ116" s="27"/>
    </row>
    <row r="117" spans="4:88" x14ac:dyDescent="0.25"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27"/>
      <c r="BX117" s="27"/>
      <c r="BY117" s="27"/>
      <c r="BZ117" s="27"/>
      <c r="CA117" s="27"/>
      <c r="CB117" s="27"/>
      <c r="CC117" s="27"/>
      <c r="CD117" s="27"/>
      <c r="CE117" s="27"/>
      <c r="CF117" s="27"/>
      <c r="CG117" s="27"/>
      <c r="CH117" s="27"/>
      <c r="CI117" s="27"/>
      <c r="CJ117" s="27"/>
    </row>
    <row r="118" spans="4:88" x14ac:dyDescent="0.25"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  <c r="BO118" s="27"/>
      <c r="BP118" s="27"/>
      <c r="BQ118" s="27"/>
      <c r="BR118" s="27"/>
      <c r="BS118" s="27"/>
      <c r="BT118" s="27"/>
      <c r="BU118" s="27"/>
      <c r="BV118" s="27"/>
      <c r="BW118" s="27"/>
      <c r="BX118" s="27"/>
      <c r="BY118" s="27"/>
      <c r="BZ118" s="27"/>
      <c r="CA118" s="27"/>
      <c r="CB118" s="27"/>
      <c r="CC118" s="27"/>
      <c r="CD118" s="27"/>
      <c r="CE118" s="27"/>
      <c r="CF118" s="27"/>
      <c r="CG118" s="27"/>
      <c r="CH118" s="27"/>
      <c r="CI118" s="27"/>
      <c r="CJ118" s="27"/>
    </row>
    <row r="119" spans="4:88" x14ac:dyDescent="0.25"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/>
      <c r="BQ119" s="27"/>
      <c r="BR119" s="27"/>
      <c r="BS119" s="27"/>
      <c r="BT119" s="27"/>
      <c r="BU119" s="27"/>
      <c r="BV119" s="27"/>
      <c r="BW119" s="27"/>
      <c r="BX119" s="27"/>
      <c r="BY119" s="27"/>
      <c r="BZ119" s="27"/>
      <c r="CA119" s="27"/>
      <c r="CB119" s="27"/>
      <c r="CC119" s="27"/>
      <c r="CD119" s="27"/>
      <c r="CE119" s="27"/>
      <c r="CF119" s="27"/>
      <c r="CG119" s="27"/>
      <c r="CH119" s="27"/>
      <c r="CI119" s="27"/>
      <c r="CJ119" s="27"/>
    </row>
    <row r="120" spans="4:88" x14ac:dyDescent="0.25"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  <c r="BP120" s="27"/>
      <c r="BQ120" s="27"/>
      <c r="BR120" s="27"/>
      <c r="BS120" s="27"/>
      <c r="BT120" s="27"/>
      <c r="BU120" s="27"/>
      <c r="BV120" s="27"/>
      <c r="BW120" s="27"/>
      <c r="BX120" s="27"/>
      <c r="BY120" s="27"/>
      <c r="BZ120" s="27"/>
      <c r="CA120" s="27"/>
      <c r="CB120" s="27"/>
      <c r="CC120" s="27"/>
      <c r="CD120" s="27"/>
      <c r="CE120" s="27"/>
      <c r="CF120" s="27"/>
      <c r="CG120" s="27"/>
      <c r="CH120" s="27"/>
      <c r="CI120" s="27"/>
      <c r="CJ120" s="27"/>
    </row>
    <row r="121" spans="4:88" x14ac:dyDescent="0.25"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7"/>
      <c r="BS121" s="27"/>
      <c r="BT121" s="27"/>
      <c r="BU121" s="27"/>
      <c r="BV121" s="27"/>
      <c r="BW121" s="27"/>
      <c r="BX121" s="27"/>
      <c r="BY121" s="27"/>
      <c r="BZ121" s="27"/>
      <c r="CA121" s="27"/>
      <c r="CB121" s="27"/>
      <c r="CC121" s="27"/>
      <c r="CD121" s="27"/>
      <c r="CE121" s="27"/>
      <c r="CF121" s="27"/>
      <c r="CG121" s="27"/>
      <c r="CH121" s="27"/>
      <c r="CI121" s="27"/>
      <c r="CJ121" s="27"/>
    </row>
    <row r="122" spans="4:88" x14ac:dyDescent="0.25"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  <c r="BN122" s="27"/>
      <c r="BO122" s="27"/>
      <c r="BP122" s="27"/>
      <c r="BQ122" s="27"/>
      <c r="BR122" s="27"/>
      <c r="BS122" s="27"/>
      <c r="BT122" s="27"/>
      <c r="BU122" s="27"/>
      <c r="BV122" s="27"/>
      <c r="BW122" s="27"/>
      <c r="BX122" s="27"/>
      <c r="BY122" s="27"/>
      <c r="BZ122" s="27"/>
      <c r="CA122" s="27"/>
      <c r="CB122" s="27"/>
      <c r="CC122" s="27"/>
      <c r="CD122" s="27"/>
      <c r="CE122" s="27"/>
      <c r="CF122" s="27"/>
      <c r="CG122" s="27"/>
      <c r="CH122" s="27"/>
      <c r="CI122" s="27"/>
      <c r="CJ122" s="27"/>
    </row>
    <row r="123" spans="4:88" x14ac:dyDescent="0.25"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7"/>
      <c r="BN123" s="27"/>
      <c r="BO123" s="27"/>
      <c r="BP123" s="27"/>
      <c r="BQ123" s="27"/>
      <c r="BR123" s="27"/>
      <c r="BS123" s="27"/>
      <c r="BT123" s="27"/>
      <c r="BU123" s="27"/>
      <c r="BV123" s="27"/>
      <c r="BW123" s="27"/>
      <c r="BX123" s="27"/>
      <c r="BY123" s="27"/>
      <c r="BZ123" s="27"/>
      <c r="CA123" s="27"/>
      <c r="CB123" s="27"/>
      <c r="CC123" s="27"/>
      <c r="CD123" s="27"/>
      <c r="CE123" s="27"/>
      <c r="CF123" s="27"/>
      <c r="CG123" s="27"/>
      <c r="CH123" s="27"/>
      <c r="CI123" s="27"/>
      <c r="CJ123" s="27"/>
    </row>
    <row r="124" spans="4:88" x14ac:dyDescent="0.25"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  <c r="BM124" s="27"/>
      <c r="BN124" s="27"/>
      <c r="BO124" s="27"/>
      <c r="BP124" s="27"/>
      <c r="BQ124" s="27"/>
      <c r="BR124" s="27"/>
      <c r="BS124" s="27"/>
      <c r="BT124" s="27"/>
      <c r="BU124" s="27"/>
      <c r="BV124" s="27"/>
      <c r="BW124" s="27"/>
      <c r="BX124" s="27"/>
      <c r="BY124" s="27"/>
      <c r="BZ124" s="27"/>
      <c r="CA124" s="27"/>
      <c r="CB124" s="27"/>
      <c r="CC124" s="27"/>
      <c r="CD124" s="27"/>
      <c r="CE124" s="27"/>
      <c r="CF124" s="27"/>
      <c r="CG124" s="27"/>
      <c r="CH124" s="27"/>
      <c r="CI124" s="27"/>
      <c r="CJ124" s="27"/>
    </row>
    <row r="125" spans="4:88" x14ac:dyDescent="0.25"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  <c r="BO125" s="27"/>
      <c r="BP125" s="27"/>
      <c r="BQ125" s="27"/>
      <c r="BR125" s="27"/>
      <c r="BS125" s="27"/>
      <c r="BT125" s="27"/>
      <c r="BU125" s="27"/>
      <c r="BV125" s="27"/>
      <c r="BW125" s="27"/>
      <c r="BX125" s="27"/>
      <c r="BY125" s="27"/>
      <c r="BZ125" s="27"/>
      <c r="CA125" s="27"/>
      <c r="CB125" s="27"/>
      <c r="CC125" s="27"/>
      <c r="CD125" s="27"/>
      <c r="CE125" s="27"/>
      <c r="CF125" s="27"/>
      <c r="CG125" s="27"/>
      <c r="CH125" s="27"/>
      <c r="CI125" s="27"/>
      <c r="CJ125" s="27"/>
    </row>
    <row r="126" spans="4:88" x14ac:dyDescent="0.25"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  <c r="BM126" s="27"/>
      <c r="BN126" s="27"/>
      <c r="BO126" s="27"/>
      <c r="BP126" s="27"/>
      <c r="BQ126" s="27"/>
      <c r="BR126" s="27"/>
      <c r="BS126" s="27"/>
      <c r="BT126" s="27"/>
      <c r="BU126" s="27"/>
      <c r="BV126" s="27"/>
      <c r="BW126" s="27"/>
      <c r="BX126" s="27"/>
      <c r="BY126" s="27"/>
      <c r="BZ126" s="27"/>
      <c r="CA126" s="27"/>
      <c r="CB126" s="27"/>
      <c r="CC126" s="27"/>
      <c r="CD126" s="27"/>
      <c r="CE126" s="27"/>
      <c r="CF126" s="27"/>
      <c r="CG126" s="27"/>
      <c r="CH126" s="27"/>
      <c r="CI126" s="27"/>
      <c r="CJ126" s="27"/>
    </row>
    <row r="127" spans="4:88" x14ac:dyDescent="0.25"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7"/>
      <c r="BS127" s="27"/>
      <c r="BT127" s="27"/>
      <c r="BU127" s="27"/>
      <c r="BV127" s="27"/>
      <c r="BW127" s="27"/>
      <c r="BX127" s="27"/>
      <c r="BY127" s="27"/>
      <c r="BZ127" s="27"/>
      <c r="CA127" s="27"/>
      <c r="CB127" s="27"/>
      <c r="CC127" s="27"/>
      <c r="CD127" s="27"/>
      <c r="CE127" s="27"/>
      <c r="CF127" s="27"/>
      <c r="CG127" s="27"/>
      <c r="CH127" s="27"/>
      <c r="CI127" s="27"/>
      <c r="CJ127" s="27"/>
    </row>
    <row r="128" spans="4:88" x14ac:dyDescent="0.25"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/>
      <c r="BO128" s="27"/>
      <c r="BP128" s="27"/>
      <c r="BQ128" s="27"/>
      <c r="BR128" s="27"/>
      <c r="BS128" s="27"/>
      <c r="BT128" s="27"/>
      <c r="BU128" s="27"/>
      <c r="BV128" s="27"/>
      <c r="BW128" s="27"/>
      <c r="BX128" s="27"/>
      <c r="BY128" s="27"/>
      <c r="BZ128" s="27"/>
      <c r="CA128" s="27"/>
      <c r="CB128" s="27"/>
      <c r="CC128" s="27"/>
      <c r="CD128" s="27"/>
      <c r="CE128" s="27"/>
      <c r="CF128" s="27"/>
      <c r="CG128" s="27"/>
      <c r="CH128" s="27"/>
      <c r="CI128" s="27"/>
      <c r="CJ128" s="27"/>
    </row>
    <row r="129" spans="4:88" x14ac:dyDescent="0.25"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  <c r="BM129" s="27"/>
      <c r="BN129" s="27"/>
      <c r="BO129" s="27"/>
      <c r="BP129" s="27"/>
      <c r="BQ129" s="27"/>
      <c r="BR129" s="27"/>
      <c r="BS129" s="27"/>
      <c r="BT129" s="27"/>
      <c r="BU129" s="27"/>
      <c r="BV129" s="27"/>
      <c r="BW129" s="27"/>
      <c r="BX129" s="27"/>
      <c r="BY129" s="27"/>
      <c r="BZ129" s="27"/>
      <c r="CA129" s="27"/>
      <c r="CB129" s="27"/>
      <c r="CC129" s="27"/>
      <c r="CD129" s="27"/>
      <c r="CE129" s="27"/>
      <c r="CF129" s="27"/>
      <c r="CG129" s="27"/>
      <c r="CH129" s="27"/>
      <c r="CI129" s="27"/>
      <c r="CJ129" s="27"/>
    </row>
    <row r="130" spans="4:88" x14ac:dyDescent="0.25"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  <c r="BM130" s="27"/>
      <c r="BN130" s="27"/>
      <c r="BO130" s="27"/>
      <c r="BP130" s="27"/>
      <c r="BQ130" s="27"/>
      <c r="BR130" s="27"/>
      <c r="BS130" s="27"/>
      <c r="BT130" s="27"/>
      <c r="BU130" s="27"/>
      <c r="BV130" s="27"/>
      <c r="BW130" s="27"/>
      <c r="BX130" s="27"/>
      <c r="BY130" s="27"/>
      <c r="BZ130" s="27"/>
      <c r="CA130" s="27"/>
      <c r="CB130" s="27"/>
      <c r="CC130" s="27"/>
      <c r="CD130" s="27"/>
      <c r="CE130" s="27"/>
      <c r="CF130" s="27"/>
      <c r="CG130" s="27"/>
      <c r="CH130" s="27"/>
      <c r="CI130" s="27"/>
      <c r="CJ130" s="27"/>
    </row>
    <row r="131" spans="4:88" x14ac:dyDescent="0.25"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  <c r="BM131" s="27"/>
      <c r="BN131" s="27"/>
      <c r="BO131" s="27"/>
      <c r="BP131" s="27"/>
      <c r="BQ131" s="27"/>
      <c r="BR131" s="27"/>
      <c r="BS131" s="27"/>
      <c r="BT131" s="27"/>
      <c r="BU131" s="27"/>
      <c r="BV131" s="27"/>
      <c r="BW131" s="27"/>
      <c r="BX131" s="27"/>
      <c r="BY131" s="27"/>
      <c r="BZ131" s="27"/>
      <c r="CA131" s="27"/>
      <c r="CB131" s="27"/>
      <c r="CC131" s="27"/>
      <c r="CD131" s="27"/>
      <c r="CE131" s="27"/>
      <c r="CF131" s="27"/>
      <c r="CG131" s="27"/>
      <c r="CH131" s="27"/>
      <c r="CI131" s="27"/>
      <c r="CJ131" s="27"/>
    </row>
    <row r="132" spans="4:88" x14ac:dyDescent="0.25"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  <c r="BO132" s="27"/>
      <c r="BP132" s="27"/>
      <c r="BQ132" s="27"/>
      <c r="BR132" s="27"/>
      <c r="BS132" s="27"/>
      <c r="BT132" s="27"/>
      <c r="BU132" s="27"/>
      <c r="BV132" s="27"/>
      <c r="BW132" s="27"/>
      <c r="BX132" s="27"/>
      <c r="BY132" s="27"/>
      <c r="BZ132" s="27"/>
      <c r="CA132" s="27"/>
      <c r="CB132" s="27"/>
      <c r="CC132" s="27"/>
      <c r="CD132" s="27"/>
      <c r="CE132" s="27"/>
      <c r="CF132" s="27"/>
      <c r="CG132" s="27"/>
      <c r="CH132" s="27"/>
      <c r="CI132" s="27"/>
      <c r="CJ132" s="27"/>
    </row>
    <row r="133" spans="4:88" x14ac:dyDescent="0.25"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7"/>
      <c r="BN133" s="27"/>
      <c r="BO133" s="27"/>
      <c r="BP133" s="27"/>
      <c r="BQ133" s="27"/>
      <c r="BR133" s="27"/>
      <c r="BS133" s="27"/>
      <c r="BT133" s="27"/>
      <c r="BU133" s="27"/>
      <c r="BV133" s="27"/>
      <c r="BW133" s="27"/>
      <c r="BX133" s="27"/>
      <c r="BY133" s="27"/>
      <c r="BZ133" s="27"/>
      <c r="CA133" s="27"/>
      <c r="CB133" s="27"/>
      <c r="CC133" s="27"/>
      <c r="CD133" s="27"/>
      <c r="CE133" s="27"/>
      <c r="CF133" s="27"/>
      <c r="CG133" s="27"/>
      <c r="CH133" s="27"/>
      <c r="CI133" s="27"/>
      <c r="CJ133" s="27"/>
    </row>
    <row r="134" spans="4:88" x14ac:dyDescent="0.25"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27"/>
      <c r="BQ134" s="27"/>
      <c r="BR134" s="27"/>
      <c r="BS134" s="27"/>
      <c r="BT134" s="27"/>
      <c r="BU134" s="27"/>
      <c r="BV134" s="27"/>
      <c r="BW134" s="27"/>
      <c r="BX134" s="27"/>
      <c r="BY134" s="27"/>
      <c r="BZ134" s="27"/>
      <c r="CA134" s="27"/>
      <c r="CB134" s="27"/>
      <c r="CC134" s="27"/>
      <c r="CD134" s="27"/>
      <c r="CE134" s="27"/>
      <c r="CF134" s="27"/>
      <c r="CG134" s="27"/>
      <c r="CH134" s="27"/>
      <c r="CI134" s="27"/>
      <c r="CJ134" s="27"/>
    </row>
    <row r="135" spans="4:88" x14ac:dyDescent="0.25"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7"/>
      <c r="BN135" s="27"/>
      <c r="BO135" s="27"/>
      <c r="BP135" s="27"/>
      <c r="BQ135" s="27"/>
      <c r="BR135" s="27"/>
      <c r="BS135" s="27"/>
      <c r="BT135" s="27"/>
      <c r="BU135" s="27"/>
      <c r="BV135" s="27"/>
      <c r="BW135" s="27"/>
      <c r="BX135" s="27"/>
      <c r="BY135" s="27"/>
      <c r="BZ135" s="27"/>
      <c r="CA135" s="27"/>
      <c r="CB135" s="27"/>
      <c r="CC135" s="27"/>
      <c r="CD135" s="27"/>
      <c r="CE135" s="27"/>
      <c r="CF135" s="27"/>
      <c r="CG135" s="27"/>
      <c r="CH135" s="27"/>
      <c r="CI135" s="27"/>
      <c r="CJ135" s="27"/>
    </row>
    <row r="136" spans="4:88" x14ac:dyDescent="0.25"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27"/>
      <c r="BI136" s="27"/>
      <c r="BJ136" s="27"/>
      <c r="BK136" s="27"/>
      <c r="BL136" s="27"/>
      <c r="BM136" s="27"/>
      <c r="BN136" s="27"/>
      <c r="BO136" s="27"/>
      <c r="BP136" s="27"/>
      <c r="BQ136" s="27"/>
      <c r="BR136" s="27"/>
      <c r="BS136" s="27"/>
      <c r="BT136" s="27"/>
      <c r="BU136" s="27"/>
      <c r="BV136" s="27"/>
      <c r="BW136" s="27"/>
      <c r="BX136" s="27"/>
      <c r="BY136" s="27"/>
      <c r="BZ136" s="27"/>
      <c r="CA136" s="27"/>
      <c r="CB136" s="27"/>
      <c r="CC136" s="27"/>
      <c r="CD136" s="27"/>
      <c r="CE136" s="27"/>
      <c r="CF136" s="27"/>
      <c r="CG136" s="27"/>
      <c r="CH136" s="27"/>
      <c r="CI136" s="27"/>
      <c r="CJ136" s="27"/>
    </row>
    <row r="137" spans="4:88" x14ac:dyDescent="0.25"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/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7"/>
      <c r="CA137" s="27"/>
      <c r="CB137" s="27"/>
      <c r="CC137" s="27"/>
      <c r="CD137" s="27"/>
      <c r="CE137" s="27"/>
      <c r="CF137" s="27"/>
      <c r="CG137" s="27"/>
      <c r="CH137" s="27"/>
      <c r="CI137" s="27"/>
      <c r="CJ137" s="27"/>
    </row>
    <row r="138" spans="4:88" x14ac:dyDescent="0.25"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  <c r="BM138" s="27"/>
      <c r="BN138" s="27"/>
      <c r="BO138" s="27"/>
      <c r="BP138" s="27"/>
      <c r="BQ138" s="27"/>
      <c r="BR138" s="27"/>
      <c r="BS138" s="27"/>
      <c r="BT138" s="27"/>
      <c r="BU138" s="27"/>
      <c r="BV138" s="27"/>
      <c r="BW138" s="27"/>
      <c r="BX138" s="27"/>
      <c r="BY138" s="27"/>
      <c r="BZ138" s="27"/>
      <c r="CA138" s="27"/>
      <c r="CB138" s="27"/>
      <c r="CC138" s="27"/>
      <c r="CD138" s="27"/>
      <c r="CE138" s="27"/>
      <c r="CF138" s="27"/>
      <c r="CG138" s="27"/>
      <c r="CH138" s="27"/>
      <c r="CI138" s="27"/>
      <c r="CJ138" s="27"/>
    </row>
    <row r="139" spans="4:88" x14ac:dyDescent="0.25"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  <c r="BM139" s="27"/>
      <c r="BN139" s="27"/>
      <c r="BO139" s="27"/>
      <c r="BP139" s="27"/>
      <c r="BQ139" s="27"/>
      <c r="BR139" s="27"/>
      <c r="BS139" s="27"/>
      <c r="BT139" s="27"/>
      <c r="BU139" s="27"/>
      <c r="BV139" s="27"/>
      <c r="BW139" s="27"/>
      <c r="BX139" s="27"/>
      <c r="BY139" s="27"/>
      <c r="BZ139" s="27"/>
      <c r="CA139" s="27"/>
      <c r="CB139" s="27"/>
      <c r="CC139" s="27"/>
      <c r="CD139" s="27"/>
      <c r="CE139" s="27"/>
      <c r="CF139" s="27"/>
      <c r="CG139" s="27"/>
      <c r="CH139" s="27"/>
      <c r="CI139" s="27"/>
      <c r="CJ139" s="27"/>
    </row>
    <row r="140" spans="4:88" x14ac:dyDescent="0.25"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7"/>
      <c r="CA140" s="27"/>
      <c r="CB140" s="27"/>
      <c r="CC140" s="27"/>
      <c r="CD140" s="27"/>
      <c r="CE140" s="27"/>
      <c r="CF140" s="27"/>
      <c r="CG140" s="27"/>
      <c r="CH140" s="27"/>
      <c r="CI140" s="27"/>
      <c r="CJ140" s="27"/>
    </row>
    <row r="141" spans="4:88" x14ac:dyDescent="0.25"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27"/>
      <c r="BM141" s="27"/>
      <c r="BN141" s="27"/>
      <c r="BO141" s="27"/>
      <c r="BP141" s="27"/>
      <c r="BQ141" s="27"/>
      <c r="BR141" s="27"/>
      <c r="BS141" s="27"/>
      <c r="BT141" s="27"/>
      <c r="BU141" s="27"/>
      <c r="BV141" s="27"/>
      <c r="BW141" s="27"/>
      <c r="BX141" s="27"/>
      <c r="BY141" s="27"/>
      <c r="BZ141" s="27"/>
      <c r="CA141" s="27"/>
      <c r="CB141" s="27"/>
      <c r="CC141" s="27"/>
      <c r="CD141" s="27"/>
      <c r="CE141" s="27"/>
      <c r="CF141" s="27"/>
      <c r="CG141" s="27"/>
      <c r="CH141" s="27"/>
      <c r="CI141" s="27"/>
      <c r="CJ141" s="27"/>
    </row>
    <row r="142" spans="4:88" x14ac:dyDescent="0.25"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  <c r="BU142" s="27"/>
      <c r="BV142" s="27"/>
      <c r="BW142" s="27"/>
      <c r="BX142" s="27"/>
      <c r="BY142" s="27"/>
      <c r="BZ142" s="27"/>
      <c r="CA142" s="27"/>
      <c r="CB142" s="27"/>
      <c r="CC142" s="27"/>
      <c r="CD142" s="27"/>
      <c r="CE142" s="27"/>
      <c r="CF142" s="27"/>
      <c r="CG142" s="27"/>
      <c r="CH142" s="27"/>
      <c r="CI142" s="27"/>
      <c r="CJ142" s="27"/>
    </row>
    <row r="143" spans="4:88" x14ac:dyDescent="0.25"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/>
      <c r="BP143" s="27"/>
      <c r="BQ143" s="27"/>
      <c r="BR143" s="27"/>
      <c r="BS143" s="27"/>
      <c r="BT143" s="27"/>
      <c r="BU143" s="27"/>
      <c r="BV143" s="27"/>
      <c r="BW143" s="27"/>
      <c r="BX143" s="27"/>
      <c r="BY143" s="27"/>
      <c r="BZ143" s="27"/>
      <c r="CA143" s="27"/>
      <c r="CB143" s="27"/>
      <c r="CC143" s="27"/>
      <c r="CD143" s="27"/>
      <c r="CE143" s="27"/>
      <c r="CF143" s="27"/>
      <c r="CG143" s="27"/>
      <c r="CH143" s="27"/>
      <c r="CI143" s="27"/>
      <c r="CJ143" s="27"/>
    </row>
    <row r="144" spans="4:88" x14ac:dyDescent="0.25"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7"/>
      <c r="BN144" s="27"/>
      <c r="BO144" s="27"/>
      <c r="BP144" s="27"/>
      <c r="BQ144" s="27"/>
      <c r="BR144" s="27"/>
      <c r="BS144" s="27"/>
      <c r="BT144" s="27"/>
      <c r="BU144" s="27"/>
      <c r="BV144" s="27"/>
      <c r="BW144" s="27"/>
      <c r="BX144" s="27"/>
      <c r="BY144" s="27"/>
      <c r="BZ144" s="27"/>
      <c r="CA144" s="27"/>
      <c r="CB144" s="27"/>
      <c r="CC144" s="27"/>
      <c r="CD144" s="27"/>
      <c r="CE144" s="27"/>
      <c r="CF144" s="27"/>
      <c r="CG144" s="27"/>
      <c r="CH144" s="27"/>
      <c r="CI144" s="27"/>
      <c r="CJ144" s="27"/>
    </row>
    <row r="145" spans="4:88" x14ac:dyDescent="0.25"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  <c r="BN145" s="27"/>
      <c r="BO145" s="27"/>
      <c r="BP145" s="27"/>
      <c r="BQ145" s="27"/>
      <c r="BR145" s="27"/>
      <c r="BS145" s="27"/>
      <c r="BT145" s="27"/>
      <c r="BU145" s="27"/>
      <c r="BV145" s="27"/>
      <c r="BW145" s="27"/>
      <c r="BX145" s="27"/>
      <c r="BY145" s="27"/>
      <c r="BZ145" s="27"/>
      <c r="CA145" s="27"/>
      <c r="CB145" s="27"/>
      <c r="CC145" s="27"/>
      <c r="CD145" s="27"/>
      <c r="CE145" s="27"/>
      <c r="CF145" s="27"/>
      <c r="CG145" s="27"/>
      <c r="CH145" s="27"/>
      <c r="CI145" s="27"/>
      <c r="CJ145" s="27"/>
    </row>
    <row r="146" spans="4:88" x14ac:dyDescent="0.25"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  <c r="BN146" s="27"/>
      <c r="BO146" s="27"/>
      <c r="BP146" s="27"/>
      <c r="BQ146" s="27"/>
      <c r="BR146" s="27"/>
      <c r="BS146" s="27"/>
      <c r="BT146" s="27"/>
      <c r="BU146" s="27"/>
      <c r="BV146" s="27"/>
      <c r="BW146" s="27"/>
      <c r="BX146" s="27"/>
      <c r="BY146" s="27"/>
      <c r="BZ146" s="27"/>
      <c r="CA146" s="27"/>
      <c r="CB146" s="27"/>
      <c r="CC146" s="27"/>
      <c r="CD146" s="27"/>
      <c r="CE146" s="27"/>
      <c r="CF146" s="27"/>
      <c r="CG146" s="27"/>
      <c r="CH146" s="27"/>
      <c r="CI146" s="27"/>
      <c r="CJ146" s="27"/>
    </row>
    <row r="147" spans="4:88" x14ac:dyDescent="0.25"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  <c r="BO147" s="27"/>
      <c r="BP147" s="27"/>
      <c r="BQ147" s="27"/>
      <c r="BR147" s="27"/>
      <c r="BS147" s="27"/>
      <c r="BT147" s="27"/>
      <c r="BU147" s="27"/>
      <c r="BV147" s="27"/>
      <c r="BW147" s="27"/>
      <c r="BX147" s="27"/>
      <c r="BY147" s="27"/>
      <c r="BZ147" s="27"/>
      <c r="CA147" s="27"/>
      <c r="CB147" s="27"/>
      <c r="CC147" s="27"/>
      <c r="CD147" s="27"/>
      <c r="CE147" s="27"/>
      <c r="CF147" s="27"/>
      <c r="CG147" s="27"/>
      <c r="CH147" s="27"/>
      <c r="CI147" s="27"/>
      <c r="CJ147" s="27"/>
    </row>
    <row r="148" spans="4:88" x14ac:dyDescent="0.25"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  <c r="BJ148" s="27"/>
      <c r="BK148" s="27"/>
      <c r="BL148" s="27"/>
      <c r="BM148" s="27"/>
      <c r="BN148" s="27"/>
      <c r="BO148" s="27"/>
      <c r="BP148" s="27"/>
      <c r="BQ148" s="27"/>
      <c r="BR148" s="27"/>
      <c r="BS148" s="27"/>
      <c r="BT148" s="27"/>
      <c r="BU148" s="27"/>
      <c r="BV148" s="27"/>
      <c r="BW148" s="27"/>
      <c r="BX148" s="27"/>
      <c r="BY148" s="27"/>
      <c r="BZ148" s="27"/>
      <c r="CA148" s="27"/>
      <c r="CB148" s="27"/>
      <c r="CC148" s="27"/>
      <c r="CD148" s="27"/>
      <c r="CE148" s="27"/>
      <c r="CF148" s="27"/>
      <c r="CG148" s="27"/>
      <c r="CH148" s="27"/>
      <c r="CI148" s="27"/>
      <c r="CJ148" s="27"/>
    </row>
    <row r="149" spans="4:88" x14ac:dyDescent="0.25"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  <c r="BM149" s="27"/>
      <c r="BN149" s="27"/>
      <c r="BO149" s="27"/>
      <c r="BP149" s="27"/>
      <c r="BQ149" s="27"/>
      <c r="BR149" s="27"/>
      <c r="BS149" s="27"/>
      <c r="BT149" s="27"/>
      <c r="BU149" s="27"/>
      <c r="BV149" s="27"/>
      <c r="BW149" s="27"/>
      <c r="BX149" s="27"/>
      <c r="BY149" s="27"/>
      <c r="BZ149" s="27"/>
      <c r="CA149" s="27"/>
      <c r="CB149" s="27"/>
      <c r="CC149" s="27"/>
      <c r="CD149" s="27"/>
      <c r="CE149" s="27"/>
      <c r="CF149" s="27"/>
      <c r="CG149" s="27"/>
      <c r="CH149" s="27"/>
      <c r="CI149" s="27"/>
      <c r="CJ149" s="27"/>
    </row>
    <row r="150" spans="4:88" x14ac:dyDescent="0.25"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  <c r="BH150" s="27"/>
      <c r="BI150" s="27"/>
      <c r="BJ150" s="27"/>
      <c r="BK150" s="27"/>
      <c r="BL150" s="27"/>
      <c r="BM150" s="27"/>
      <c r="BN150" s="27"/>
      <c r="BO150" s="27"/>
      <c r="BP150" s="27"/>
      <c r="BQ150" s="27"/>
      <c r="BR150" s="27"/>
      <c r="BS150" s="27"/>
      <c r="BT150" s="27"/>
      <c r="BU150" s="27"/>
      <c r="BV150" s="27"/>
      <c r="BW150" s="27"/>
      <c r="BX150" s="27"/>
      <c r="BY150" s="27"/>
      <c r="BZ150" s="27"/>
      <c r="CA150" s="27"/>
      <c r="CB150" s="27"/>
      <c r="CC150" s="27"/>
      <c r="CD150" s="27"/>
      <c r="CE150" s="27"/>
      <c r="CF150" s="27"/>
      <c r="CG150" s="27"/>
      <c r="CH150" s="27"/>
      <c r="CI150" s="27"/>
      <c r="CJ150" s="27"/>
    </row>
    <row r="151" spans="4:88" x14ac:dyDescent="0.25"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7"/>
      <c r="BP151" s="27"/>
      <c r="BQ151" s="27"/>
      <c r="BR151" s="27"/>
      <c r="BS151" s="27"/>
      <c r="BT151" s="27"/>
      <c r="BU151" s="27"/>
      <c r="BV151" s="27"/>
      <c r="BW151" s="27"/>
      <c r="BX151" s="27"/>
      <c r="BY151" s="27"/>
      <c r="BZ151" s="27"/>
      <c r="CA151" s="27"/>
      <c r="CB151" s="27"/>
      <c r="CC151" s="27"/>
      <c r="CD151" s="27"/>
      <c r="CE151" s="27"/>
      <c r="CF151" s="27"/>
      <c r="CG151" s="27"/>
      <c r="CH151" s="27"/>
      <c r="CI151" s="27"/>
      <c r="CJ151" s="27"/>
    </row>
    <row r="152" spans="4:88" x14ac:dyDescent="0.25"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27"/>
      <c r="BH152" s="27"/>
      <c r="BI152" s="27"/>
      <c r="BJ152" s="27"/>
      <c r="BK152" s="27"/>
      <c r="BL152" s="27"/>
      <c r="BM152" s="27"/>
      <c r="BN152" s="27"/>
      <c r="BO152" s="27"/>
      <c r="BP152" s="27"/>
      <c r="BQ152" s="27"/>
      <c r="BR152" s="27"/>
      <c r="BS152" s="27"/>
      <c r="BT152" s="27"/>
      <c r="BU152" s="27"/>
      <c r="BV152" s="27"/>
      <c r="BW152" s="27"/>
      <c r="BX152" s="27"/>
      <c r="BY152" s="27"/>
      <c r="BZ152" s="27"/>
      <c r="CA152" s="27"/>
      <c r="CB152" s="27"/>
      <c r="CC152" s="27"/>
      <c r="CD152" s="27"/>
      <c r="CE152" s="27"/>
      <c r="CF152" s="27"/>
      <c r="CG152" s="27"/>
      <c r="CH152" s="27"/>
      <c r="CI152" s="27"/>
      <c r="CJ152" s="27"/>
    </row>
    <row r="153" spans="4:88" x14ac:dyDescent="0.25"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  <c r="BG153" s="27"/>
      <c r="BH153" s="27"/>
      <c r="BI153" s="27"/>
      <c r="BJ153" s="27"/>
      <c r="BK153" s="27"/>
      <c r="BL153" s="27"/>
      <c r="BM153" s="27"/>
      <c r="BN153" s="27"/>
      <c r="BO153" s="27"/>
      <c r="BP153" s="27"/>
      <c r="BQ153" s="27"/>
      <c r="BR153" s="27"/>
      <c r="BS153" s="27"/>
      <c r="BT153" s="27"/>
      <c r="BU153" s="27"/>
      <c r="BV153" s="27"/>
      <c r="BW153" s="27"/>
      <c r="BX153" s="27"/>
      <c r="BY153" s="27"/>
      <c r="BZ153" s="27"/>
      <c r="CA153" s="27"/>
      <c r="CB153" s="27"/>
      <c r="CC153" s="27"/>
      <c r="CD153" s="27"/>
      <c r="CE153" s="27"/>
      <c r="CF153" s="27"/>
      <c r="CG153" s="27"/>
      <c r="CH153" s="27"/>
      <c r="CI153" s="27"/>
      <c r="CJ153" s="27"/>
    </row>
    <row r="154" spans="4:88" x14ac:dyDescent="0.25"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27"/>
      <c r="BH154" s="27"/>
      <c r="BI154" s="27"/>
      <c r="BJ154" s="27"/>
      <c r="BK154" s="27"/>
      <c r="BL154" s="27"/>
      <c r="BM154" s="27"/>
      <c r="BN154" s="27"/>
      <c r="BO154" s="27"/>
      <c r="BP154" s="27"/>
      <c r="BQ154" s="27"/>
      <c r="BR154" s="27"/>
      <c r="BS154" s="27"/>
      <c r="BT154" s="27"/>
      <c r="BU154" s="27"/>
      <c r="BV154" s="27"/>
      <c r="BW154" s="27"/>
      <c r="BX154" s="27"/>
      <c r="BY154" s="27"/>
      <c r="BZ154" s="27"/>
      <c r="CA154" s="27"/>
      <c r="CB154" s="27"/>
      <c r="CC154" s="27"/>
      <c r="CD154" s="27"/>
      <c r="CE154" s="27"/>
      <c r="CF154" s="27"/>
      <c r="CG154" s="27"/>
      <c r="CH154" s="27"/>
      <c r="CI154" s="27"/>
      <c r="CJ154" s="27"/>
    </row>
    <row r="155" spans="4:88" x14ac:dyDescent="0.25"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  <c r="BH155" s="27"/>
      <c r="BI155" s="27"/>
      <c r="BJ155" s="27"/>
      <c r="BK155" s="27"/>
      <c r="BL155" s="27"/>
      <c r="BM155" s="27"/>
      <c r="BN155" s="27"/>
      <c r="BO155" s="27"/>
      <c r="BP155" s="27"/>
      <c r="BQ155" s="27"/>
      <c r="BR155" s="27"/>
      <c r="BS155" s="27"/>
      <c r="BT155" s="27"/>
      <c r="BU155" s="27"/>
      <c r="BV155" s="27"/>
      <c r="BW155" s="27"/>
      <c r="BX155" s="27"/>
      <c r="BY155" s="27"/>
      <c r="BZ155" s="27"/>
      <c r="CA155" s="27"/>
      <c r="CB155" s="27"/>
      <c r="CC155" s="27"/>
      <c r="CD155" s="27"/>
      <c r="CE155" s="27"/>
      <c r="CF155" s="27"/>
      <c r="CG155" s="27"/>
      <c r="CH155" s="27"/>
      <c r="CI155" s="27"/>
      <c r="CJ155" s="27"/>
    </row>
    <row r="156" spans="4:88" x14ac:dyDescent="0.25"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  <c r="BH156" s="27"/>
      <c r="BI156" s="27"/>
      <c r="BJ156" s="27"/>
      <c r="BK156" s="27"/>
      <c r="BL156" s="27"/>
      <c r="BM156" s="27"/>
      <c r="BN156" s="27"/>
      <c r="BO156" s="27"/>
      <c r="BP156" s="27"/>
      <c r="BQ156" s="27"/>
      <c r="BR156" s="27"/>
      <c r="BS156" s="27"/>
      <c r="BT156" s="27"/>
      <c r="BU156" s="27"/>
      <c r="BV156" s="27"/>
      <c r="BW156" s="27"/>
      <c r="BX156" s="27"/>
      <c r="BY156" s="27"/>
      <c r="BZ156" s="27"/>
      <c r="CA156" s="27"/>
      <c r="CB156" s="27"/>
      <c r="CC156" s="27"/>
      <c r="CD156" s="27"/>
      <c r="CE156" s="27"/>
      <c r="CF156" s="27"/>
      <c r="CG156" s="27"/>
      <c r="CH156" s="27"/>
      <c r="CI156" s="27"/>
      <c r="CJ156" s="27"/>
    </row>
    <row r="157" spans="4:88" x14ac:dyDescent="0.25"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27"/>
      <c r="BM157" s="27"/>
      <c r="BN157" s="27"/>
      <c r="BO157" s="27"/>
      <c r="BP157" s="27"/>
      <c r="BQ157" s="27"/>
      <c r="BR157" s="27"/>
      <c r="BS157" s="27"/>
      <c r="BT157" s="27"/>
      <c r="BU157" s="27"/>
      <c r="BV157" s="27"/>
      <c r="BW157" s="27"/>
      <c r="BX157" s="27"/>
      <c r="BY157" s="27"/>
      <c r="BZ157" s="27"/>
      <c r="CA157" s="27"/>
      <c r="CB157" s="27"/>
      <c r="CC157" s="27"/>
      <c r="CD157" s="27"/>
      <c r="CE157" s="27"/>
      <c r="CF157" s="27"/>
      <c r="CG157" s="27"/>
      <c r="CH157" s="27"/>
      <c r="CI157" s="27"/>
      <c r="CJ157" s="27"/>
    </row>
    <row r="158" spans="4:88" x14ac:dyDescent="0.25"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27"/>
      <c r="BH158" s="27"/>
      <c r="BI158" s="27"/>
      <c r="BJ158" s="27"/>
      <c r="BK158" s="27"/>
      <c r="BL158" s="27"/>
      <c r="BM158" s="27"/>
      <c r="BN158" s="27"/>
      <c r="BO158" s="27"/>
      <c r="BP158" s="27"/>
      <c r="BQ158" s="27"/>
      <c r="BR158" s="27"/>
      <c r="BS158" s="27"/>
      <c r="BT158" s="27"/>
      <c r="BU158" s="27"/>
      <c r="BV158" s="27"/>
      <c r="BW158" s="27"/>
      <c r="BX158" s="27"/>
      <c r="BY158" s="27"/>
      <c r="BZ158" s="27"/>
      <c r="CA158" s="27"/>
      <c r="CB158" s="27"/>
      <c r="CC158" s="27"/>
      <c r="CD158" s="27"/>
      <c r="CE158" s="27"/>
      <c r="CF158" s="27"/>
      <c r="CG158" s="27"/>
      <c r="CH158" s="27"/>
      <c r="CI158" s="27"/>
      <c r="CJ158" s="27"/>
    </row>
    <row r="159" spans="4:88" x14ac:dyDescent="0.25"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27"/>
      <c r="BH159" s="27"/>
      <c r="BI159" s="27"/>
      <c r="BJ159" s="27"/>
      <c r="BK159" s="27"/>
      <c r="BL159" s="27"/>
      <c r="BM159" s="27"/>
      <c r="BN159" s="27"/>
      <c r="BO159" s="27"/>
      <c r="BP159" s="27"/>
      <c r="BQ159" s="27"/>
      <c r="BR159" s="27"/>
      <c r="BS159" s="27"/>
      <c r="BT159" s="27"/>
      <c r="BU159" s="27"/>
      <c r="BV159" s="27"/>
      <c r="BW159" s="27"/>
      <c r="BX159" s="27"/>
      <c r="BY159" s="27"/>
      <c r="BZ159" s="27"/>
      <c r="CA159" s="27"/>
      <c r="CB159" s="27"/>
      <c r="CC159" s="27"/>
      <c r="CD159" s="27"/>
      <c r="CE159" s="27"/>
      <c r="CF159" s="27"/>
      <c r="CG159" s="27"/>
      <c r="CH159" s="27"/>
      <c r="CI159" s="27"/>
      <c r="CJ159" s="27"/>
    </row>
    <row r="160" spans="4:88" x14ac:dyDescent="0.25"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  <c r="CA160" s="27"/>
      <c r="CB160" s="27"/>
      <c r="CC160" s="27"/>
      <c r="CD160" s="27"/>
      <c r="CE160" s="27"/>
      <c r="CF160" s="27"/>
      <c r="CG160" s="27"/>
      <c r="CH160" s="27"/>
      <c r="CI160" s="27"/>
      <c r="CJ160" s="27"/>
    </row>
    <row r="161" spans="4:88" x14ac:dyDescent="0.25"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/>
      <c r="BO161" s="27"/>
      <c r="BP161" s="27"/>
      <c r="BQ161" s="27"/>
      <c r="BR161" s="27"/>
      <c r="BS161" s="27"/>
      <c r="BT161" s="27"/>
      <c r="BU161" s="27"/>
      <c r="BV161" s="27"/>
      <c r="BW161" s="27"/>
      <c r="BX161" s="27"/>
      <c r="BY161" s="27"/>
      <c r="BZ161" s="27"/>
      <c r="CA161" s="27"/>
      <c r="CB161" s="27"/>
      <c r="CC161" s="27"/>
      <c r="CD161" s="27"/>
      <c r="CE161" s="27"/>
      <c r="CF161" s="27"/>
      <c r="CG161" s="27"/>
      <c r="CH161" s="27"/>
      <c r="CI161" s="27"/>
      <c r="CJ161" s="27"/>
    </row>
    <row r="162" spans="4:88" x14ac:dyDescent="0.25"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  <c r="CB162" s="27"/>
      <c r="CC162" s="27"/>
      <c r="CD162" s="27"/>
      <c r="CE162" s="27"/>
      <c r="CF162" s="27"/>
      <c r="CG162" s="27"/>
      <c r="CH162" s="27"/>
      <c r="CI162" s="27"/>
      <c r="CJ162" s="27"/>
    </row>
    <row r="163" spans="4:88" x14ac:dyDescent="0.25"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  <c r="BN163" s="27"/>
      <c r="BO163" s="27"/>
      <c r="BP163" s="27"/>
      <c r="BQ163" s="27"/>
      <c r="BR163" s="27"/>
      <c r="BS163" s="27"/>
      <c r="BT163" s="27"/>
      <c r="BU163" s="27"/>
      <c r="BV163" s="27"/>
      <c r="BW163" s="27"/>
      <c r="BX163" s="27"/>
      <c r="BY163" s="27"/>
      <c r="BZ163" s="27"/>
      <c r="CA163" s="27"/>
      <c r="CB163" s="27"/>
      <c r="CC163" s="27"/>
      <c r="CD163" s="27"/>
      <c r="CE163" s="27"/>
      <c r="CF163" s="27"/>
      <c r="CG163" s="27"/>
      <c r="CH163" s="27"/>
      <c r="CI163" s="27"/>
      <c r="CJ163" s="27"/>
    </row>
    <row r="164" spans="4:88" x14ac:dyDescent="0.25"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  <c r="CD164" s="27"/>
      <c r="CE164" s="27"/>
      <c r="CF164" s="27"/>
      <c r="CG164" s="27"/>
      <c r="CH164" s="27"/>
      <c r="CI164" s="27"/>
      <c r="CJ164" s="27"/>
    </row>
    <row r="165" spans="4:88" x14ac:dyDescent="0.25"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  <c r="BQ165" s="27"/>
      <c r="BR165" s="27"/>
      <c r="BS165" s="27"/>
      <c r="BT165" s="27"/>
      <c r="BU165" s="27"/>
      <c r="BV165" s="27"/>
      <c r="BW165" s="27"/>
      <c r="BX165" s="27"/>
      <c r="BY165" s="27"/>
      <c r="BZ165" s="27"/>
      <c r="CA165" s="27"/>
      <c r="CB165" s="27"/>
      <c r="CC165" s="27"/>
      <c r="CD165" s="27"/>
      <c r="CE165" s="27"/>
      <c r="CF165" s="27"/>
      <c r="CG165" s="27"/>
      <c r="CH165" s="27"/>
      <c r="CI165" s="27"/>
      <c r="CJ165" s="27"/>
    </row>
    <row r="166" spans="4:88" x14ac:dyDescent="0.25"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  <c r="BI166" s="27"/>
      <c r="BJ166" s="27"/>
      <c r="BK166" s="27"/>
      <c r="BL166" s="27"/>
      <c r="BM166" s="27"/>
      <c r="BN166" s="27"/>
      <c r="BO166" s="27"/>
      <c r="BP166" s="27"/>
      <c r="BQ166" s="27"/>
      <c r="BR166" s="27"/>
      <c r="BS166" s="27"/>
      <c r="BT166" s="27"/>
      <c r="BU166" s="27"/>
      <c r="BV166" s="27"/>
      <c r="BW166" s="27"/>
      <c r="BX166" s="27"/>
      <c r="BY166" s="27"/>
      <c r="BZ166" s="27"/>
      <c r="CA166" s="27"/>
      <c r="CB166" s="27"/>
      <c r="CC166" s="27"/>
      <c r="CD166" s="27"/>
      <c r="CE166" s="27"/>
      <c r="CF166" s="27"/>
      <c r="CG166" s="27"/>
      <c r="CH166" s="27"/>
      <c r="CI166" s="27"/>
      <c r="CJ166" s="27"/>
    </row>
    <row r="167" spans="4:88" x14ac:dyDescent="0.25"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27"/>
      <c r="BQ167" s="27"/>
      <c r="BR167" s="27"/>
      <c r="BS167" s="27"/>
      <c r="BT167" s="27"/>
      <c r="BU167" s="27"/>
      <c r="BV167" s="27"/>
      <c r="BW167" s="27"/>
      <c r="BX167" s="27"/>
      <c r="BY167" s="27"/>
      <c r="BZ167" s="27"/>
      <c r="CA167" s="27"/>
      <c r="CB167" s="27"/>
      <c r="CC167" s="27"/>
      <c r="CD167" s="27"/>
      <c r="CE167" s="27"/>
      <c r="CF167" s="27"/>
      <c r="CG167" s="27"/>
      <c r="CH167" s="27"/>
      <c r="CI167" s="27"/>
      <c r="CJ167" s="27"/>
    </row>
    <row r="168" spans="4:88" x14ac:dyDescent="0.25"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  <c r="BI168" s="27"/>
      <c r="BJ168" s="27"/>
      <c r="BK168" s="27"/>
      <c r="BL168" s="27"/>
      <c r="BM168" s="27"/>
      <c r="BN168" s="27"/>
      <c r="BO168" s="27"/>
      <c r="BP168" s="27"/>
      <c r="BQ168" s="27"/>
      <c r="BR168" s="27"/>
      <c r="BS168" s="27"/>
      <c r="BT168" s="27"/>
      <c r="BU168" s="27"/>
      <c r="BV168" s="27"/>
      <c r="BW168" s="27"/>
      <c r="BX168" s="27"/>
      <c r="BY168" s="27"/>
      <c r="BZ168" s="27"/>
      <c r="CA168" s="27"/>
      <c r="CB168" s="27"/>
      <c r="CC168" s="27"/>
      <c r="CD168" s="27"/>
      <c r="CE168" s="27"/>
      <c r="CF168" s="27"/>
      <c r="CG168" s="27"/>
      <c r="CH168" s="27"/>
      <c r="CI168" s="27"/>
      <c r="CJ168" s="27"/>
    </row>
    <row r="169" spans="4:88" x14ac:dyDescent="0.25"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27"/>
      <c r="BH169" s="27"/>
      <c r="BI169" s="27"/>
      <c r="BJ169" s="27"/>
      <c r="BK169" s="27"/>
      <c r="BL169" s="27"/>
      <c r="BM169" s="27"/>
      <c r="BN169" s="27"/>
      <c r="BO169" s="27"/>
      <c r="BP169" s="27"/>
      <c r="BQ169" s="27"/>
      <c r="BR169" s="27"/>
      <c r="BS169" s="27"/>
      <c r="BT169" s="27"/>
      <c r="BU169" s="27"/>
      <c r="BV169" s="27"/>
      <c r="BW169" s="27"/>
      <c r="BX169" s="27"/>
      <c r="BY169" s="27"/>
      <c r="BZ169" s="27"/>
      <c r="CA169" s="27"/>
      <c r="CB169" s="27"/>
      <c r="CC169" s="27"/>
      <c r="CD169" s="27"/>
      <c r="CE169" s="27"/>
      <c r="CF169" s="27"/>
      <c r="CG169" s="27"/>
      <c r="CH169" s="27"/>
      <c r="CI169" s="27"/>
      <c r="CJ169" s="27"/>
    </row>
    <row r="170" spans="4:88" x14ac:dyDescent="0.25"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/>
      <c r="BM170" s="27"/>
      <c r="BN170" s="27"/>
      <c r="BO170" s="27"/>
      <c r="BP170" s="27"/>
      <c r="BQ170" s="27"/>
      <c r="BR170" s="27"/>
      <c r="BS170" s="27"/>
      <c r="BT170" s="27"/>
      <c r="BU170" s="27"/>
      <c r="BV170" s="27"/>
      <c r="BW170" s="27"/>
      <c r="BX170" s="27"/>
      <c r="BY170" s="27"/>
      <c r="BZ170" s="27"/>
      <c r="CA170" s="27"/>
      <c r="CB170" s="27"/>
      <c r="CC170" s="27"/>
      <c r="CD170" s="27"/>
      <c r="CE170" s="27"/>
      <c r="CF170" s="27"/>
      <c r="CG170" s="27"/>
      <c r="CH170" s="27"/>
      <c r="CI170" s="27"/>
      <c r="CJ170" s="27"/>
    </row>
    <row r="171" spans="4:88" x14ac:dyDescent="0.25"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  <c r="BG171" s="27"/>
      <c r="BH171" s="27"/>
      <c r="BI171" s="27"/>
      <c r="BJ171" s="27"/>
      <c r="BK171" s="27"/>
      <c r="BL171" s="27"/>
      <c r="BM171" s="27"/>
      <c r="BN171" s="27"/>
      <c r="BO171" s="27"/>
      <c r="BP171" s="27"/>
      <c r="BQ171" s="27"/>
      <c r="BR171" s="27"/>
      <c r="BS171" s="27"/>
      <c r="BT171" s="27"/>
      <c r="BU171" s="27"/>
      <c r="BV171" s="27"/>
      <c r="BW171" s="27"/>
      <c r="BX171" s="27"/>
      <c r="BY171" s="27"/>
      <c r="BZ171" s="27"/>
      <c r="CA171" s="27"/>
      <c r="CB171" s="27"/>
      <c r="CC171" s="27"/>
      <c r="CD171" s="27"/>
      <c r="CE171" s="27"/>
      <c r="CF171" s="27"/>
      <c r="CG171" s="27"/>
      <c r="CH171" s="27"/>
      <c r="CI171" s="27"/>
      <c r="CJ171" s="27"/>
    </row>
    <row r="172" spans="4:88" x14ac:dyDescent="0.25"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27"/>
      <c r="BJ172" s="27"/>
      <c r="BK172" s="27"/>
      <c r="BL172" s="27"/>
      <c r="BM172" s="27"/>
      <c r="BN172" s="27"/>
      <c r="BO172" s="27"/>
      <c r="BP172" s="27"/>
      <c r="BQ172" s="27"/>
      <c r="BR172" s="27"/>
      <c r="BS172" s="27"/>
      <c r="BT172" s="27"/>
      <c r="BU172" s="27"/>
      <c r="BV172" s="27"/>
      <c r="BW172" s="27"/>
      <c r="BX172" s="27"/>
      <c r="BY172" s="27"/>
      <c r="BZ172" s="27"/>
      <c r="CA172" s="27"/>
      <c r="CB172" s="27"/>
      <c r="CC172" s="27"/>
      <c r="CD172" s="27"/>
      <c r="CE172" s="27"/>
      <c r="CF172" s="27"/>
      <c r="CG172" s="27"/>
      <c r="CH172" s="27"/>
      <c r="CI172" s="27"/>
      <c r="CJ172" s="27"/>
    </row>
    <row r="173" spans="4:88" x14ac:dyDescent="0.25"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27"/>
      <c r="BH173" s="27"/>
      <c r="BI173" s="27"/>
      <c r="BJ173" s="27"/>
      <c r="BK173" s="27"/>
      <c r="BL173" s="27"/>
      <c r="BM173" s="27"/>
      <c r="BN173" s="27"/>
      <c r="BO173" s="27"/>
      <c r="BP173" s="27"/>
      <c r="BQ173" s="27"/>
      <c r="BR173" s="27"/>
      <c r="BS173" s="27"/>
      <c r="BT173" s="27"/>
      <c r="BU173" s="27"/>
      <c r="BV173" s="27"/>
      <c r="BW173" s="27"/>
      <c r="BX173" s="27"/>
      <c r="BY173" s="27"/>
      <c r="BZ173" s="27"/>
      <c r="CA173" s="27"/>
      <c r="CB173" s="27"/>
      <c r="CC173" s="27"/>
      <c r="CD173" s="27"/>
      <c r="CE173" s="27"/>
      <c r="CF173" s="27"/>
      <c r="CG173" s="27"/>
      <c r="CH173" s="27"/>
      <c r="CI173" s="27"/>
      <c r="CJ173" s="27"/>
    </row>
    <row r="174" spans="4:88" x14ac:dyDescent="0.25"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27"/>
      <c r="BJ174" s="27"/>
      <c r="BK174" s="27"/>
      <c r="BL174" s="27"/>
      <c r="BM174" s="27"/>
      <c r="BN174" s="27"/>
      <c r="BO174" s="27"/>
      <c r="BP174" s="27"/>
      <c r="BQ174" s="27"/>
      <c r="BR174" s="27"/>
      <c r="BS174" s="27"/>
      <c r="BT174" s="27"/>
      <c r="BU174" s="27"/>
      <c r="BV174" s="27"/>
      <c r="BW174" s="27"/>
      <c r="BX174" s="27"/>
      <c r="BY174" s="27"/>
      <c r="BZ174" s="27"/>
      <c r="CA174" s="27"/>
      <c r="CB174" s="27"/>
      <c r="CC174" s="27"/>
      <c r="CD174" s="27"/>
      <c r="CE174" s="27"/>
      <c r="CF174" s="27"/>
      <c r="CG174" s="27"/>
      <c r="CH174" s="27"/>
      <c r="CI174" s="27"/>
      <c r="CJ174" s="27"/>
    </row>
    <row r="175" spans="4:88" x14ac:dyDescent="0.25"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/>
      <c r="BP175" s="27"/>
      <c r="BQ175" s="27"/>
      <c r="BR175" s="27"/>
      <c r="BS175" s="27"/>
      <c r="BT175" s="27"/>
      <c r="BU175" s="27"/>
      <c r="BV175" s="27"/>
      <c r="BW175" s="27"/>
      <c r="BX175" s="27"/>
      <c r="BY175" s="27"/>
      <c r="BZ175" s="27"/>
      <c r="CA175" s="27"/>
      <c r="CB175" s="27"/>
      <c r="CC175" s="27"/>
      <c r="CD175" s="27"/>
      <c r="CE175" s="27"/>
      <c r="CF175" s="27"/>
      <c r="CG175" s="27"/>
      <c r="CH175" s="27"/>
      <c r="CI175" s="27"/>
      <c r="CJ175" s="27"/>
    </row>
    <row r="176" spans="4:88" x14ac:dyDescent="0.25"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7"/>
      <c r="BJ176" s="27"/>
      <c r="BK176" s="27"/>
      <c r="BL176" s="27"/>
      <c r="BM176" s="27"/>
      <c r="BN176" s="27"/>
      <c r="BO176" s="27"/>
      <c r="BP176" s="27"/>
      <c r="BQ176" s="27"/>
      <c r="BR176" s="27"/>
      <c r="BS176" s="27"/>
      <c r="BT176" s="27"/>
      <c r="BU176" s="27"/>
      <c r="BV176" s="27"/>
      <c r="BW176" s="27"/>
      <c r="BX176" s="27"/>
      <c r="BY176" s="27"/>
      <c r="BZ176" s="27"/>
      <c r="CA176" s="27"/>
      <c r="CB176" s="27"/>
      <c r="CC176" s="27"/>
      <c r="CD176" s="27"/>
      <c r="CE176" s="27"/>
      <c r="CF176" s="27"/>
      <c r="CG176" s="27"/>
      <c r="CH176" s="27"/>
      <c r="CI176" s="27"/>
      <c r="CJ176" s="27"/>
    </row>
    <row r="177" spans="4:88" x14ac:dyDescent="0.25"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  <c r="BM177" s="27"/>
      <c r="BN177" s="27"/>
      <c r="BO177" s="27"/>
      <c r="BP177" s="27"/>
      <c r="BQ177" s="27"/>
      <c r="BR177" s="27"/>
      <c r="BS177" s="27"/>
      <c r="BT177" s="27"/>
      <c r="BU177" s="27"/>
      <c r="BV177" s="27"/>
      <c r="BW177" s="27"/>
      <c r="BX177" s="27"/>
      <c r="BY177" s="27"/>
      <c r="BZ177" s="27"/>
      <c r="CA177" s="27"/>
      <c r="CB177" s="27"/>
      <c r="CC177" s="27"/>
      <c r="CD177" s="27"/>
      <c r="CE177" s="27"/>
      <c r="CF177" s="27"/>
      <c r="CG177" s="27"/>
      <c r="CH177" s="27"/>
      <c r="CI177" s="27"/>
      <c r="CJ177" s="27"/>
    </row>
    <row r="178" spans="4:88" x14ac:dyDescent="0.25"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/>
      <c r="BP178" s="27"/>
      <c r="BQ178" s="27"/>
      <c r="BR178" s="27"/>
      <c r="BS178" s="27"/>
      <c r="BT178" s="27"/>
      <c r="BU178" s="27"/>
      <c r="BV178" s="27"/>
      <c r="BW178" s="27"/>
      <c r="BX178" s="27"/>
      <c r="BY178" s="27"/>
      <c r="BZ178" s="27"/>
      <c r="CA178" s="27"/>
      <c r="CB178" s="27"/>
      <c r="CC178" s="27"/>
      <c r="CD178" s="27"/>
      <c r="CE178" s="27"/>
      <c r="CF178" s="27"/>
      <c r="CG178" s="27"/>
      <c r="CH178" s="27"/>
      <c r="CI178" s="27"/>
      <c r="CJ178" s="27"/>
    </row>
    <row r="179" spans="4:88" x14ac:dyDescent="0.25"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27"/>
      <c r="BM179" s="27"/>
      <c r="BN179" s="27"/>
      <c r="BO179" s="27"/>
      <c r="BP179" s="27"/>
      <c r="BQ179" s="27"/>
      <c r="BR179" s="27"/>
      <c r="BS179" s="27"/>
      <c r="BT179" s="27"/>
      <c r="BU179" s="27"/>
      <c r="BV179" s="27"/>
      <c r="BW179" s="27"/>
      <c r="BX179" s="27"/>
      <c r="BY179" s="27"/>
      <c r="BZ179" s="27"/>
      <c r="CA179" s="27"/>
      <c r="CB179" s="27"/>
      <c r="CC179" s="27"/>
      <c r="CD179" s="27"/>
      <c r="CE179" s="27"/>
      <c r="CF179" s="27"/>
      <c r="CG179" s="27"/>
      <c r="CH179" s="27"/>
      <c r="CI179" s="27"/>
      <c r="CJ179" s="27"/>
    </row>
    <row r="180" spans="4:88" x14ac:dyDescent="0.25"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  <c r="BG180" s="27"/>
      <c r="BH180" s="27"/>
      <c r="BI180" s="27"/>
      <c r="BJ180" s="27"/>
      <c r="BK180" s="27"/>
      <c r="BL180" s="27"/>
      <c r="BM180" s="27"/>
      <c r="BN180" s="27"/>
      <c r="BO180" s="27"/>
      <c r="BP180" s="27"/>
      <c r="BQ180" s="27"/>
      <c r="BR180" s="27"/>
      <c r="BS180" s="27"/>
      <c r="BT180" s="27"/>
      <c r="BU180" s="27"/>
      <c r="BV180" s="27"/>
      <c r="BW180" s="27"/>
      <c r="BX180" s="27"/>
      <c r="BY180" s="27"/>
      <c r="BZ180" s="27"/>
      <c r="CA180" s="27"/>
      <c r="CB180" s="27"/>
      <c r="CC180" s="27"/>
      <c r="CD180" s="27"/>
      <c r="CE180" s="27"/>
      <c r="CF180" s="27"/>
      <c r="CG180" s="27"/>
      <c r="CH180" s="27"/>
      <c r="CI180" s="27"/>
      <c r="CJ180" s="27"/>
    </row>
    <row r="181" spans="4:88" x14ac:dyDescent="0.25"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  <c r="BG181" s="27"/>
      <c r="BH181" s="27"/>
      <c r="BI181" s="27"/>
      <c r="BJ181" s="27"/>
      <c r="BK181" s="27"/>
      <c r="BL181" s="27"/>
      <c r="BM181" s="27"/>
      <c r="BN181" s="27"/>
      <c r="BO181" s="27"/>
      <c r="BP181" s="27"/>
      <c r="BQ181" s="27"/>
      <c r="BR181" s="27"/>
      <c r="BS181" s="27"/>
      <c r="BT181" s="27"/>
      <c r="BU181" s="27"/>
      <c r="BV181" s="27"/>
      <c r="BW181" s="27"/>
      <c r="BX181" s="27"/>
      <c r="BY181" s="27"/>
      <c r="BZ181" s="27"/>
      <c r="CA181" s="27"/>
      <c r="CB181" s="27"/>
      <c r="CC181" s="27"/>
      <c r="CD181" s="27"/>
      <c r="CE181" s="27"/>
      <c r="CF181" s="27"/>
      <c r="CG181" s="27"/>
      <c r="CH181" s="27"/>
      <c r="CI181" s="27"/>
      <c r="CJ181" s="27"/>
    </row>
    <row r="182" spans="4:88" x14ac:dyDescent="0.25"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27"/>
      <c r="BH182" s="27"/>
      <c r="BI182" s="27"/>
      <c r="BJ182" s="27"/>
      <c r="BK182" s="27"/>
      <c r="BL182" s="27"/>
      <c r="BM182" s="27"/>
      <c r="BN182" s="27"/>
      <c r="BO182" s="27"/>
      <c r="BP182" s="27"/>
      <c r="BQ182" s="27"/>
      <c r="BR182" s="27"/>
      <c r="BS182" s="27"/>
      <c r="BT182" s="27"/>
      <c r="BU182" s="27"/>
      <c r="BV182" s="27"/>
      <c r="BW182" s="27"/>
      <c r="BX182" s="27"/>
      <c r="BY182" s="27"/>
      <c r="BZ182" s="27"/>
      <c r="CA182" s="27"/>
      <c r="CB182" s="27"/>
      <c r="CC182" s="27"/>
      <c r="CD182" s="27"/>
      <c r="CE182" s="27"/>
      <c r="CF182" s="27"/>
      <c r="CG182" s="27"/>
      <c r="CH182" s="27"/>
      <c r="CI182" s="27"/>
      <c r="CJ182" s="27"/>
    </row>
    <row r="183" spans="4:88" x14ac:dyDescent="0.25"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7"/>
      <c r="BP183" s="27"/>
      <c r="BQ183" s="27"/>
      <c r="BR183" s="27"/>
      <c r="BS183" s="27"/>
      <c r="BT183" s="27"/>
      <c r="BU183" s="27"/>
      <c r="BV183" s="27"/>
      <c r="BW183" s="27"/>
      <c r="BX183" s="27"/>
      <c r="BY183" s="27"/>
      <c r="BZ183" s="27"/>
      <c r="CA183" s="27"/>
      <c r="CB183" s="27"/>
      <c r="CC183" s="27"/>
      <c r="CD183" s="27"/>
      <c r="CE183" s="27"/>
      <c r="CF183" s="27"/>
      <c r="CG183" s="27"/>
      <c r="CH183" s="27"/>
      <c r="CI183" s="27"/>
      <c r="CJ183" s="27"/>
    </row>
    <row r="184" spans="4:88" x14ac:dyDescent="0.25"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  <c r="BH184" s="27"/>
      <c r="BI184" s="27"/>
      <c r="BJ184" s="27"/>
      <c r="BK184" s="27"/>
      <c r="BL184" s="27"/>
      <c r="BM184" s="27"/>
      <c r="BN184" s="27"/>
      <c r="BO184" s="27"/>
      <c r="BP184" s="27"/>
      <c r="BQ184" s="27"/>
      <c r="BR184" s="27"/>
      <c r="BS184" s="27"/>
      <c r="BT184" s="27"/>
      <c r="BU184" s="27"/>
      <c r="BV184" s="27"/>
      <c r="BW184" s="27"/>
      <c r="BX184" s="27"/>
      <c r="BY184" s="27"/>
      <c r="BZ184" s="27"/>
      <c r="CA184" s="27"/>
      <c r="CB184" s="27"/>
      <c r="CC184" s="27"/>
      <c r="CD184" s="27"/>
      <c r="CE184" s="27"/>
      <c r="CF184" s="27"/>
      <c r="CG184" s="27"/>
      <c r="CH184" s="27"/>
      <c r="CI184" s="27"/>
      <c r="CJ184" s="27"/>
    </row>
    <row r="185" spans="4:88" x14ac:dyDescent="0.25"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  <c r="BH185" s="27"/>
      <c r="BI185" s="27"/>
      <c r="BJ185" s="27"/>
      <c r="BK185" s="27"/>
      <c r="BL185" s="27"/>
      <c r="BM185" s="27"/>
      <c r="BN185" s="27"/>
      <c r="BO185" s="27"/>
      <c r="BP185" s="27"/>
      <c r="BQ185" s="27"/>
      <c r="BR185" s="27"/>
      <c r="BS185" s="27"/>
      <c r="BT185" s="27"/>
      <c r="BU185" s="27"/>
      <c r="BV185" s="27"/>
      <c r="BW185" s="27"/>
      <c r="BX185" s="27"/>
      <c r="BY185" s="27"/>
      <c r="BZ185" s="27"/>
      <c r="CA185" s="27"/>
      <c r="CB185" s="27"/>
      <c r="CC185" s="27"/>
      <c r="CD185" s="27"/>
      <c r="CE185" s="27"/>
      <c r="CF185" s="27"/>
      <c r="CG185" s="27"/>
      <c r="CH185" s="27"/>
      <c r="CI185" s="27"/>
      <c r="CJ185" s="27"/>
    </row>
    <row r="186" spans="4:88" x14ac:dyDescent="0.25"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  <c r="BH186" s="27"/>
      <c r="BI186" s="27"/>
      <c r="BJ186" s="27"/>
      <c r="BK186" s="27"/>
      <c r="BL186" s="27"/>
      <c r="BM186" s="27"/>
      <c r="BN186" s="27"/>
      <c r="BO186" s="27"/>
      <c r="BP186" s="27"/>
      <c r="BQ186" s="27"/>
      <c r="BR186" s="27"/>
      <c r="BS186" s="27"/>
      <c r="BT186" s="27"/>
      <c r="BU186" s="27"/>
      <c r="BV186" s="27"/>
      <c r="BW186" s="27"/>
      <c r="BX186" s="27"/>
      <c r="BY186" s="27"/>
      <c r="BZ186" s="27"/>
      <c r="CA186" s="27"/>
      <c r="CB186" s="27"/>
      <c r="CC186" s="27"/>
      <c r="CD186" s="27"/>
      <c r="CE186" s="27"/>
      <c r="CF186" s="27"/>
      <c r="CG186" s="27"/>
      <c r="CH186" s="27"/>
      <c r="CI186" s="27"/>
      <c r="CJ186" s="27"/>
    </row>
    <row r="187" spans="4:88" x14ac:dyDescent="0.25"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7"/>
      <c r="BJ187" s="27"/>
      <c r="BK187" s="27"/>
      <c r="BL187" s="27"/>
      <c r="BM187" s="27"/>
      <c r="BN187" s="27"/>
      <c r="BO187" s="27"/>
      <c r="BP187" s="27"/>
      <c r="BQ187" s="27"/>
      <c r="BR187" s="27"/>
      <c r="BS187" s="27"/>
      <c r="BT187" s="27"/>
      <c r="BU187" s="27"/>
      <c r="BV187" s="27"/>
      <c r="BW187" s="27"/>
      <c r="BX187" s="27"/>
      <c r="BY187" s="27"/>
      <c r="BZ187" s="27"/>
      <c r="CA187" s="27"/>
      <c r="CB187" s="27"/>
      <c r="CC187" s="27"/>
      <c r="CD187" s="27"/>
      <c r="CE187" s="27"/>
      <c r="CF187" s="27"/>
      <c r="CG187" s="27"/>
      <c r="CH187" s="27"/>
      <c r="CI187" s="27"/>
      <c r="CJ187" s="27"/>
    </row>
    <row r="188" spans="4:88" x14ac:dyDescent="0.25"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27"/>
      <c r="BM188" s="27"/>
      <c r="BN188" s="27"/>
      <c r="BO188" s="27"/>
      <c r="BP188" s="27"/>
      <c r="BQ188" s="27"/>
      <c r="BR188" s="27"/>
      <c r="BS188" s="27"/>
      <c r="BT188" s="27"/>
      <c r="BU188" s="27"/>
      <c r="BV188" s="27"/>
      <c r="BW188" s="27"/>
      <c r="BX188" s="27"/>
      <c r="BY188" s="27"/>
      <c r="BZ188" s="27"/>
      <c r="CA188" s="27"/>
      <c r="CB188" s="27"/>
      <c r="CC188" s="27"/>
      <c r="CD188" s="27"/>
      <c r="CE188" s="27"/>
      <c r="CF188" s="27"/>
      <c r="CG188" s="27"/>
      <c r="CH188" s="27"/>
      <c r="CI188" s="27"/>
      <c r="CJ188" s="27"/>
    </row>
    <row r="189" spans="4:88" x14ac:dyDescent="0.25"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  <c r="BE189" s="27"/>
      <c r="BF189" s="27"/>
      <c r="BG189" s="27"/>
      <c r="BH189" s="27"/>
      <c r="BI189" s="27"/>
      <c r="BJ189" s="27"/>
      <c r="BK189" s="27"/>
      <c r="BL189" s="27"/>
      <c r="BM189" s="27"/>
      <c r="BN189" s="27"/>
      <c r="BO189" s="27"/>
      <c r="BP189" s="27"/>
      <c r="BQ189" s="27"/>
      <c r="BR189" s="27"/>
      <c r="BS189" s="27"/>
      <c r="BT189" s="27"/>
      <c r="BU189" s="27"/>
      <c r="BV189" s="27"/>
      <c r="BW189" s="27"/>
      <c r="BX189" s="27"/>
      <c r="BY189" s="27"/>
      <c r="BZ189" s="27"/>
      <c r="CA189" s="27"/>
      <c r="CB189" s="27"/>
      <c r="CC189" s="27"/>
      <c r="CD189" s="27"/>
      <c r="CE189" s="27"/>
      <c r="CF189" s="27"/>
      <c r="CG189" s="27"/>
      <c r="CH189" s="27"/>
      <c r="CI189" s="27"/>
      <c r="CJ189" s="27"/>
    </row>
    <row r="190" spans="4:88" x14ac:dyDescent="0.25"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27"/>
      <c r="BH190" s="27"/>
      <c r="BI190" s="27"/>
      <c r="BJ190" s="27"/>
      <c r="BK190" s="27"/>
      <c r="BL190" s="27"/>
      <c r="BM190" s="27"/>
      <c r="BN190" s="27"/>
      <c r="BO190" s="27"/>
      <c r="BP190" s="27"/>
      <c r="BQ190" s="27"/>
      <c r="BR190" s="27"/>
      <c r="BS190" s="27"/>
      <c r="BT190" s="27"/>
      <c r="BU190" s="27"/>
      <c r="BV190" s="27"/>
      <c r="BW190" s="27"/>
      <c r="BX190" s="27"/>
      <c r="BY190" s="27"/>
      <c r="BZ190" s="27"/>
      <c r="CA190" s="27"/>
      <c r="CB190" s="27"/>
      <c r="CC190" s="27"/>
      <c r="CD190" s="27"/>
      <c r="CE190" s="27"/>
      <c r="CF190" s="27"/>
      <c r="CG190" s="27"/>
      <c r="CH190" s="27"/>
      <c r="CI190" s="27"/>
      <c r="CJ190" s="27"/>
    </row>
    <row r="191" spans="4:88" x14ac:dyDescent="0.25"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7"/>
      <c r="BP191" s="27"/>
      <c r="BQ191" s="27"/>
      <c r="BR191" s="27"/>
      <c r="BS191" s="27"/>
      <c r="BT191" s="27"/>
      <c r="BU191" s="27"/>
      <c r="BV191" s="27"/>
      <c r="BW191" s="27"/>
      <c r="BX191" s="27"/>
      <c r="BY191" s="27"/>
      <c r="BZ191" s="27"/>
      <c r="CA191" s="27"/>
      <c r="CB191" s="27"/>
      <c r="CC191" s="27"/>
      <c r="CD191" s="27"/>
      <c r="CE191" s="27"/>
      <c r="CF191" s="27"/>
      <c r="CG191" s="27"/>
      <c r="CH191" s="27"/>
      <c r="CI191" s="27"/>
      <c r="CJ191" s="27"/>
    </row>
    <row r="192" spans="4:88" x14ac:dyDescent="0.25"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  <c r="BH192" s="27"/>
      <c r="BI192" s="27"/>
      <c r="BJ192" s="27"/>
      <c r="BK192" s="27"/>
      <c r="BL192" s="27"/>
      <c r="BM192" s="27"/>
      <c r="BN192" s="27"/>
      <c r="BO192" s="27"/>
      <c r="BP192" s="27"/>
      <c r="BQ192" s="27"/>
      <c r="BR192" s="27"/>
      <c r="BS192" s="27"/>
      <c r="BT192" s="27"/>
      <c r="BU192" s="27"/>
      <c r="BV192" s="27"/>
      <c r="BW192" s="27"/>
      <c r="BX192" s="27"/>
      <c r="BY192" s="27"/>
      <c r="BZ192" s="27"/>
      <c r="CA192" s="27"/>
      <c r="CB192" s="27"/>
      <c r="CC192" s="27"/>
      <c r="CD192" s="27"/>
      <c r="CE192" s="27"/>
      <c r="CF192" s="27"/>
      <c r="CG192" s="27"/>
      <c r="CH192" s="27"/>
      <c r="CI192" s="27"/>
      <c r="CJ192" s="27"/>
    </row>
    <row r="193" spans="4:88" x14ac:dyDescent="0.25"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  <c r="BG193" s="27"/>
      <c r="BH193" s="27"/>
      <c r="BI193" s="27"/>
      <c r="BJ193" s="27"/>
      <c r="BK193" s="27"/>
      <c r="BL193" s="27"/>
      <c r="BM193" s="27"/>
      <c r="BN193" s="27"/>
      <c r="BO193" s="27"/>
      <c r="BP193" s="27"/>
      <c r="BQ193" s="27"/>
      <c r="BR193" s="27"/>
      <c r="BS193" s="27"/>
      <c r="BT193" s="27"/>
      <c r="BU193" s="27"/>
      <c r="BV193" s="27"/>
      <c r="BW193" s="27"/>
      <c r="BX193" s="27"/>
      <c r="BY193" s="27"/>
      <c r="BZ193" s="27"/>
      <c r="CA193" s="27"/>
      <c r="CB193" s="27"/>
      <c r="CC193" s="27"/>
      <c r="CD193" s="27"/>
      <c r="CE193" s="27"/>
      <c r="CF193" s="27"/>
      <c r="CG193" s="27"/>
      <c r="CH193" s="27"/>
      <c r="CI193" s="27"/>
      <c r="CJ193" s="27"/>
    </row>
    <row r="194" spans="4:88" x14ac:dyDescent="0.25"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  <c r="BG194" s="27"/>
      <c r="BH194" s="27"/>
      <c r="BI194" s="27"/>
      <c r="BJ194" s="27"/>
      <c r="BK194" s="27"/>
      <c r="BL194" s="27"/>
      <c r="BM194" s="27"/>
      <c r="BN194" s="27"/>
      <c r="BO194" s="27"/>
      <c r="BP194" s="27"/>
      <c r="BQ194" s="27"/>
      <c r="BR194" s="27"/>
      <c r="BS194" s="27"/>
      <c r="BT194" s="27"/>
      <c r="BU194" s="27"/>
      <c r="BV194" s="27"/>
      <c r="BW194" s="27"/>
      <c r="BX194" s="27"/>
      <c r="BY194" s="27"/>
      <c r="BZ194" s="27"/>
      <c r="CA194" s="27"/>
      <c r="CB194" s="27"/>
      <c r="CC194" s="27"/>
      <c r="CD194" s="27"/>
      <c r="CE194" s="27"/>
      <c r="CF194" s="27"/>
      <c r="CG194" s="27"/>
      <c r="CH194" s="27"/>
      <c r="CI194" s="27"/>
      <c r="CJ194" s="27"/>
    </row>
    <row r="195" spans="4:88" x14ac:dyDescent="0.25"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27"/>
      <c r="BD195" s="27"/>
      <c r="BE195" s="27"/>
      <c r="BF195" s="27"/>
      <c r="BG195" s="27"/>
      <c r="BH195" s="27"/>
      <c r="BI195" s="27"/>
      <c r="BJ195" s="27"/>
      <c r="BK195" s="27"/>
      <c r="BL195" s="27"/>
      <c r="BM195" s="27"/>
      <c r="BN195" s="27"/>
      <c r="BO195" s="27"/>
      <c r="BP195" s="27"/>
      <c r="BQ195" s="27"/>
      <c r="BR195" s="27"/>
      <c r="BS195" s="27"/>
      <c r="BT195" s="27"/>
      <c r="BU195" s="27"/>
      <c r="BV195" s="27"/>
      <c r="BW195" s="27"/>
      <c r="BX195" s="27"/>
      <c r="BY195" s="27"/>
      <c r="BZ195" s="27"/>
      <c r="CA195" s="27"/>
      <c r="CB195" s="27"/>
      <c r="CC195" s="27"/>
      <c r="CD195" s="27"/>
      <c r="CE195" s="27"/>
      <c r="CF195" s="27"/>
      <c r="CG195" s="27"/>
      <c r="CH195" s="27"/>
      <c r="CI195" s="27"/>
      <c r="CJ195" s="27"/>
    </row>
    <row r="196" spans="4:88" x14ac:dyDescent="0.25"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27"/>
      <c r="BH196" s="27"/>
      <c r="BI196" s="27"/>
      <c r="BJ196" s="27"/>
      <c r="BK196" s="27"/>
      <c r="BL196" s="27"/>
      <c r="BM196" s="27"/>
      <c r="BN196" s="27"/>
      <c r="BO196" s="27"/>
      <c r="BP196" s="27"/>
      <c r="BQ196" s="27"/>
      <c r="BR196" s="27"/>
      <c r="BS196" s="27"/>
      <c r="BT196" s="27"/>
      <c r="BU196" s="27"/>
      <c r="BV196" s="27"/>
      <c r="BW196" s="27"/>
      <c r="BX196" s="27"/>
      <c r="BY196" s="27"/>
      <c r="BZ196" s="27"/>
      <c r="CA196" s="27"/>
      <c r="CB196" s="27"/>
      <c r="CC196" s="27"/>
      <c r="CD196" s="27"/>
      <c r="CE196" s="27"/>
      <c r="CF196" s="27"/>
      <c r="CG196" s="27"/>
      <c r="CH196" s="27"/>
      <c r="CI196" s="27"/>
      <c r="CJ196" s="27"/>
    </row>
    <row r="197" spans="4:88" x14ac:dyDescent="0.25"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  <c r="BG197" s="27"/>
      <c r="BH197" s="27"/>
      <c r="BI197" s="27"/>
      <c r="BJ197" s="27"/>
      <c r="BK197" s="27"/>
      <c r="BL197" s="27"/>
      <c r="BM197" s="27"/>
      <c r="BN197" s="27"/>
      <c r="BO197" s="27"/>
      <c r="BP197" s="27"/>
      <c r="BQ197" s="27"/>
      <c r="BR197" s="27"/>
      <c r="BS197" s="27"/>
      <c r="BT197" s="27"/>
      <c r="BU197" s="27"/>
      <c r="BV197" s="27"/>
      <c r="BW197" s="27"/>
      <c r="BX197" s="27"/>
      <c r="BY197" s="27"/>
      <c r="BZ197" s="27"/>
      <c r="CA197" s="27"/>
      <c r="CB197" s="27"/>
      <c r="CC197" s="27"/>
      <c r="CD197" s="27"/>
      <c r="CE197" s="27"/>
      <c r="CF197" s="27"/>
      <c r="CG197" s="27"/>
      <c r="CH197" s="27"/>
      <c r="CI197" s="27"/>
      <c r="CJ197" s="27"/>
    </row>
    <row r="198" spans="4:88" x14ac:dyDescent="0.25"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27"/>
      <c r="BH198" s="27"/>
      <c r="BI198" s="27"/>
      <c r="BJ198" s="27"/>
      <c r="BK198" s="27"/>
      <c r="BL198" s="27"/>
      <c r="BM198" s="27"/>
      <c r="BN198" s="27"/>
      <c r="BO198" s="27"/>
      <c r="BP198" s="27"/>
      <c r="BQ198" s="27"/>
      <c r="BR198" s="27"/>
      <c r="BS198" s="27"/>
      <c r="BT198" s="27"/>
      <c r="BU198" s="27"/>
      <c r="BV198" s="27"/>
      <c r="BW198" s="27"/>
      <c r="BX198" s="27"/>
      <c r="BY198" s="27"/>
      <c r="BZ198" s="27"/>
      <c r="CA198" s="27"/>
      <c r="CB198" s="27"/>
      <c r="CC198" s="27"/>
      <c r="CD198" s="27"/>
      <c r="CE198" s="27"/>
      <c r="CF198" s="27"/>
      <c r="CG198" s="27"/>
      <c r="CH198" s="27"/>
      <c r="CI198" s="27"/>
      <c r="CJ198" s="27"/>
    </row>
    <row r="199" spans="4:88" x14ac:dyDescent="0.25"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27"/>
      <c r="BH199" s="27"/>
      <c r="BI199" s="27"/>
      <c r="BJ199" s="27"/>
      <c r="BK199" s="27"/>
      <c r="BL199" s="27"/>
      <c r="BM199" s="27"/>
      <c r="BN199" s="27"/>
      <c r="BO199" s="27"/>
      <c r="BP199" s="27"/>
      <c r="BQ199" s="27"/>
      <c r="BR199" s="27"/>
      <c r="BS199" s="27"/>
      <c r="BT199" s="27"/>
      <c r="BU199" s="27"/>
      <c r="BV199" s="27"/>
      <c r="BW199" s="27"/>
      <c r="BX199" s="27"/>
      <c r="BY199" s="27"/>
      <c r="BZ199" s="27"/>
      <c r="CA199" s="27"/>
      <c r="CB199" s="27"/>
      <c r="CC199" s="27"/>
      <c r="CD199" s="27"/>
      <c r="CE199" s="27"/>
      <c r="CF199" s="27"/>
      <c r="CG199" s="27"/>
      <c r="CH199" s="27"/>
      <c r="CI199" s="27"/>
      <c r="CJ199" s="27"/>
    </row>
    <row r="200" spans="4:88" x14ac:dyDescent="0.25"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  <c r="BG200" s="27"/>
      <c r="BH200" s="27"/>
      <c r="BI200" s="27"/>
      <c r="BJ200" s="27"/>
      <c r="BK200" s="27"/>
      <c r="BL200" s="27"/>
      <c r="BM200" s="27"/>
      <c r="BN200" s="27"/>
      <c r="BO200" s="27"/>
      <c r="BP200" s="27"/>
      <c r="BQ200" s="27"/>
      <c r="BR200" s="27"/>
      <c r="BS200" s="27"/>
      <c r="BT200" s="27"/>
      <c r="BU200" s="27"/>
      <c r="BV200" s="27"/>
      <c r="BW200" s="27"/>
      <c r="BX200" s="27"/>
      <c r="BY200" s="27"/>
      <c r="BZ200" s="27"/>
      <c r="CA200" s="27"/>
      <c r="CB200" s="27"/>
      <c r="CC200" s="27"/>
      <c r="CD200" s="27"/>
      <c r="CE200" s="27"/>
      <c r="CF200" s="27"/>
      <c r="CG200" s="27"/>
      <c r="CH200" s="27"/>
      <c r="CI200" s="27"/>
      <c r="CJ200" s="27"/>
    </row>
    <row r="201" spans="4:88" x14ac:dyDescent="0.25"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  <c r="BE201" s="27"/>
      <c r="BF201" s="27"/>
      <c r="BG201" s="27"/>
      <c r="BH201" s="27"/>
      <c r="BI201" s="27"/>
      <c r="BJ201" s="27"/>
      <c r="BK201" s="27"/>
      <c r="BL201" s="27"/>
      <c r="BM201" s="27"/>
      <c r="BN201" s="27"/>
      <c r="BO201" s="27"/>
      <c r="BP201" s="27"/>
      <c r="BQ201" s="27"/>
      <c r="BR201" s="27"/>
      <c r="BS201" s="27"/>
      <c r="BT201" s="27"/>
      <c r="BU201" s="27"/>
      <c r="BV201" s="27"/>
      <c r="BW201" s="27"/>
      <c r="BX201" s="27"/>
      <c r="BY201" s="27"/>
      <c r="BZ201" s="27"/>
      <c r="CA201" s="27"/>
      <c r="CB201" s="27"/>
      <c r="CC201" s="27"/>
      <c r="CD201" s="27"/>
      <c r="CE201" s="27"/>
      <c r="CF201" s="27"/>
      <c r="CG201" s="27"/>
      <c r="CH201" s="27"/>
      <c r="CI201" s="27"/>
      <c r="CJ201" s="27"/>
    </row>
    <row r="202" spans="4:88" x14ac:dyDescent="0.25"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  <c r="BE202" s="27"/>
      <c r="BF202" s="27"/>
      <c r="BG202" s="27"/>
      <c r="BH202" s="27"/>
      <c r="BI202" s="27"/>
      <c r="BJ202" s="27"/>
      <c r="BK202" s="27"/>
      <c r="BL202" s="27"/>
      <c r="BM202" s="27"/>
      <c r="BN202" s="27"/>
      <c r="BO202" s="27"/>
      <c r="BP202" s="27"/>
      <c r="BQ202" s="27"/>
      <c r="BR202" s="27"/>
      <c r="BS202" s="27"/>
      <c r="BT202" s="27"/>
      <c r="BU202" s="27"/>
      <c r="BV202" s="27"/>
      <c r="BW202" s="27"/>
      <c r="BX202" s="27"/>
      <c r="BY202" s="27"/>
      <c r="BZ202" s="27"/>
      <c r="CA202" s="27"/>
      <c r="CB202" s="27"/>
      <c r="CC202" s="27"/>
      <c r="CD202" s="27"/>
      <c r="CE202" s="27"/>
      <c r="CF202" s="27"/>
      <c r="CG202" s="27"/>
      <c r="CH202" s="27"/>
      <c r="CI202" s="27"/>
      <c r="CJ202" s="27"/>
    </row>
    <row r="203" spans="4:88" x14ac:dyDescent="0.25"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7"/>
      <c r="BG203" s="27"/>
      <c r="BH203" s="27"/>
      <c r="BI203" s="27"/>
      <c r="BJ203" s="27"/>
      <c r="BK203" s="27"/>
      <c r="BL203" s="27"/>
      <c r="BM203" s="27"/>
      <c r="BN203" s="27"/>
      <c r="BO203" s="27"/>
      <c r="BP203" s="27"/>
      <c r="BQ203" s="27"/>
      <c r="BR203" s="27"/>
      <c r="BS203" s="27"/>
      <c r="BT203" s="27"/>
      <c r="BU203" s="27"/>
      <c r="BV203" s="27"/>
      <c r="BW203" s="27"/>
      <c r="BX203" s="27"/>
      <c r="BY203" s="27"/>
      <c r="BZ203" s="27"/>
      <c r="CA203" s="27"/>
      <c r="CB203" s="27"/>
      <c r="CC203" s="27"/>
      <c r="CD203" s="27"/>
      <c r="CE203" s="27"/>
      <c r="CF203" s="27"/>
      <c r="CG203" s="27"/>
      <c r="CH203" s="27"/>
      <c r="CI203" s="27"/>
      <c r="CJ203" s="27"/>
    </row>
    <row r="204" spans="4:88" x14ac:dyDescent="0.25"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27"/>
      <c r="BH204" s="27"/>
      <c r="BI204" s="27"/>
      <c r="BJ204" s="27"/>
      <c r="BK204" s="27"/>
      <c r="BL204" s="27"/>
      <c r="BM204" s="27"/>
      <c r="BN204" s="27"/>
      <c r="BO204" s="27"/>
      <c r="BP204" s="27"/>
      <c r="BQ204" s="27"/>
      <c r="BR204" s="27"/>
      <c r="BS204" s="27"/>
      <c r="BT204" s="27"/>
      <c r="BU204" s="27"/>
      <c r="BV204" s="27"/>
      <c r="BW204" s="27"/>
      <c r="BX204" s="27"/>
      <c r="BY204" s="27"/>
      <c r="BZ204" s="27"/>
      <c r="CA204" s="27"/>
      <c r="CB204" s="27"/>
      <c r="CC204" s="27"/>
      <c r="CD204" s="27"/>
      <c r="CE204" s="27"/>
      <c r="CF204" s="27"/>
      <c r="CG204" s="27"/>
      <c r="CH204" s="27"/>
      <c r="CI204" s="27"/>
      <c r="CJ204" s="27"/>
    </row>
    <row r="205" spans="4:88" x14ac:dyDescent="0.25"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  <c r="BE205" s="27"/>
      <c r="BF205" s="27"/>
      <c r="BG205" s="27"/>
      <c r="BH205" s="27"/>
      <c r="BI205" s="27"/>
      <c r="BJ205" s="27"/>
      <c r="BK205" s="27"/>
      <c r="BL205" s="27"/>
      <c r="BM205" s="27"/>
      <c r="BN205" s="27"/>
      <c r="BO205" s="27"/>
      <c r="BP205" s="27"/>
      <c r="BQ205" s="27"/>
      <c r="BR205" s="27"/>
      <c r="BS205" s="27"/>
      <c r="BT205" s="27"/>
      <c r="BU205" s="27"/>
      <c r="BV205" s="27"/>
      <c r="BW205" s="27"/>
      <c r="BX205" s="27"/>
      <c r="BY205" s="27"/>
      <c r="BZ205" s="27"/>
      <c r="CA205" s="27"/>
      <c r="CB205" s="27"/>
      <c r="CC205" s="27"/>
      <c r="CD205" s="27"/>
      <c r="CE205" s="27"/>
      <c r="CF205" s="27"/>
      <c r="CG205" s="27"/>
      <c r="CH205" s="27"/>
      <c r="CI205" s="27"/>
      <c r="CJ205" s="27"/>
    </row>
    <row r="206" spans="4:88" x14ac:dyDescent="0.25"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  <c r="BE206" s="27"/>
      <c r="BF206" s="27"/>
      <c r="BG206" s="27"/>
      <c r="BH206" s="27"/>
      <c r="BI206" s="27"/>
      <c r="BJ206" s="27"/>
      <c r="BK206" s="27"/>
      <c r="BL206" s="27"/>
      <c r="BM206" s="27"/>
      <c r="BN206" s="27"/>
      <c r="BO206" s="27"/>
      <c r="BP206" s="27"/>
      <c r="BQ206" s="27"/>
      <c r="BR206" s="27"/>
      <c r="BS206" s="27"/>
      <c r="BT206" s="27"/>
      <c r="BU206" s="27"/>
      <c r="BV206" s="27"/>
      <c r="BW206" s="27"/>
      <c r="BX206" s="27"/>
      <c r="BY206" s="27"/>
      <c r="BZ206" s="27"/>
      <c r="CA206" s="27"/>
      <c r="CB206" s="27"/>
      <c r="CC206" s="27"/>
      <c r="CD206" s="27"/>
      <c r="CE206" s="27"/>
      <c r="CF206" s="27"/>
      <c r="CG206" s="27"/>
      <c r="CH206" s="27"/>
      <c r="CI206" s="27"/>
      <c r="CJ206" s="27"/>
    </row>
    <row r="207" spans="4:88" x14ac:dyDescent="0.25"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27"/>
      <c r="BD207" s="27"/>
      <c r="BE207" s="27"/>
      <c r="BF207" s="27"/>
      <c r="BG207" s="27"/>
      <c r="BH207" s="27"/>
      <c r="BI207" s="27"/>
      <c r="BJ207" s="27"/>
      <c r="BK207" s="27"/>
      <c r="BL207" s="27"/>
      <c r="BM207" s="27"/>
      <c r="BN207" s="27"/>
      <c r="BO207" s="27"/>
      <c r="BP207" s="27"/>
      <c r="BQ207" s="27"/>
      <c r="BR207" s="27"/>
      <c r="BS207" s="27"/>
      <c r="BT207" s="27"/>
      <c r="BU207" s="27"/>
      <c r="BV207" s="27"/>
      <c r="BW207" s="27"/>
      <c r="BX207" s="27"/>
      <c r="BY207" s="27"/>
      <c r="BZ207" s="27"/>
      <c r="CA207" s="27"/>
      <c r="CB207" s="27"/>
      <c r="CC207" s="27"/>
      <c r="CD207" s="27"/>
      <c r="CE207" s="27"/>
      <c r="CF207" s="27"/>
      <c r="CG207" s="27"/>
      <c r="CH207" s="27"/>
      <c r="CI207" s="27"/>
      <c r="CJ207" s="27"/>
    </row>
    <row r="208" spans="4:88" x14ac:dyDescent="0.25"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27"/>
      <c r="BD208" s="27"/>
      <c r="BE208" s="27"/>
      <c r="BF208" s="27"/>
      <c r="BG208" s="27"/>
      <c r="BH208" s="27"/>
      <c r="BI208" s="27"/>
      <c r="BJ208" s="27"/>
      <c r="BK208" s="27"/>
      <c r="BL208" s="27"/>
      <c r="BM208" s="27"/>
      <c r="BN208" s="27"/>
      <c r="BO208" s="27"/>
      <c r="BP208" s="27"/>
      <c r="BQ208" s="27"/>
      <c r="BR208" s="27"/>
      <c r="BS208" s="27"/>
      <c r="BT208" s="27"/>
      <c r="BU208" s="27"/>
      <c r="BV208" s="27"/>
      <c r="BW208" s="27"/>
      <c r="BX208" s="27"/>
      <c r="BY208" s="27"/>
      <c r="BZ208" s="27"/>
      <c r="CA208" s="27"/>
      <c r="CB208" s="27"/>
      <c r="CC208" s="27"/>
      <c r="CD208" s="27"/>
      <c r="CE208" s="27"/>
      <c r="CF208" s="27"/>
      <c r="CG208" s="27"/>
      <c r="CH208" s="27"/>
      <c r="CI208" s="27"/>
      <c r="CJ208" s="27"/>
    </row>
    <row r="209" spans="4:88" x14ac:dyDescent="0.25"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  <c r="BE209" s="27"/>
      <c r="BF209" s="27"/>
      <c r="BG209" s="27"/>
      <c r="BH209" s="27"/>
      <c r="BI209" s="27"/>
      <c r="BJ209" s="27"/>
      <c r="BK209" s="27"/>
      <c r="BL209" s="27"/>
      <c r="BM209" s="27"/>
      <c r="BN209" s="27"/>
      <c r="BO209" s="27"/>
      <c r="BP209" s="27"/>
      <c r="BQ209" s="27"/>
      <c r="BR209" s="27"/>
      <c r="BS209" s="27"/>
      <c r="BT209" s="27"/>
      <c r="BU209" s="27"/>
      <c r="BV209" s="27"/>
      <c r="BW209" s="27"/>
      <c r="BX209" s="27"/>
      <c r="BY209" s="27"/>
      <c r="BZ209" s="27"/>
      <c r="CA209" s="27"/>
      <c r="CB209" s="27"/>
      <c r="CC209" s="27"/>
      <c r="CD209" s="27"/>
      <c r="CE209" s="27"/>
      <c r="CF209" s="27"/>
      <c r="CG209" s="27"/>
      <c r="CH209" s="27"/>
      <c r="CI209" s="27"/>
      <c r="CJ209" s="27"/>
    </row>
    <row r="210" spans="4:88" x14ac:dyDescent="0.25"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  <c r="BE210" s="27"/>
      <c r="BF210" s="27"/>
      <c r="BG210" s="27"/>
      <c r="BH210" s="27"/>
      <c r="BI210" s="27"/>
      <c r="BJ210" s="27"/>
      <c r="BK210" s="27"/>
      <c r="BL210" s="27"/>
      <c r="BM210" s="27"/>
      <c r="BN210" s="27"/>
      <c r="BO210" s="27"/>
      <c r="BP210" s="27"/>
      <c r="BQ210" s="27"/>
      <c r="BR210" s="27"/>
      <c r="BS210" s="27"/>
      <c r="BT210" s="27"/>
      <c r="BU210" s="27"/>
      <c r="BV210" s="27"/>
      <c r="BW210" s="27"/>
      <c r="BX210" s="27"/>
      <c r="BY210" s="27"/>
      <c r="BZ210" s="27"/>
      <c r="CA210" s="27"/>
      <c r="CB210" s="27"/>
      <c r="CC210" s="27"/>
      <c r="CD210" s="27"/>
      <c r="CE210" s="27"/>
      <c r="CF210" s="27"/>
      <c r="CG210" s="27"/>
      <c r="CH210" s="27"/>
      <c r="CI210" s="27"/>
      <c r="CJ210" s="27"/>
    </row>
    <row r="211" spans="4:88" x14ac:dyDescent="0.25"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7"/>
      <c r="BF211" s="27"/>
      <c r="BG211" s="27"/>
      <c r="BH211" s="27"/>
      <c r="BI211" s="27"/>
      <c r="BJ211" s="27"/>
      <c r="BK211" s="27"/>
      <c r="BL211" s="27"/>
      <c r="BM211" s="27"/>
      <c r="BN211" s="27"/>
      <c r="BO211" s="27"/>
      <c r="BP211" s="27"/>
      <c r="BQ211" s="27"/>
      <c r="BR211" s="27"/>
      <c r="BS211" s="27"/>
      <c r="BT211" s="27"/>
      <c r="BU211" s="27"/>
      <c r="BV211" s="27"/>
      <c r="BW211" s="27"/>
      <c r="BX211" s="27"/>
      <c r="BY211" s="27"/>
      <c r="BZ211" s="27"/>
      <c r="CA211" s="27"/>
      <c r="CB211" s="27"/>
      <c r="CC211" s="27"/>
      <c r="CD211" s="27"/>
      <c r="CE211" s="27"/>
      <c r="CF211" s="27"/>
      <c r="CG211" s="27"/>
      <c r="CH211" s="27"/>
      <c r="CI211" s="27"/>
      <c r="CJ211" s="27"/>
    </row>
    <row r="212" spans="4:88" x14ac:dyDescent="0.25"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7"/>
      <c r="BF212" s="27"/>
      <c r="BG212" s="27"/>
      <c r="BH212" s="27"/>
      <c r="BI212" s="27"/>
      <c r="BJ212" s="27"/>
      <c r="BK212" s="27"/>
      <c r="BL212" s="27"/>
      <c r="BM212" s="27"/>
      <c r="BN212" s="27"/>
      <c r="BO212" s="27"/>
      <c r="BP212" s="27"/>
      <c r="BQ212" s="27"/>
      <c r="BR212" s="27"/>
      <c r="BS212" s="27"/>
      <c r="BT212" s="27"/>
      <c r="BU212" s="27"/>
      <c r="BV212" s="27"/>
      <c r="BW212" s="27"/>
      <c r="BX212" s="27"/>
      <c r="BY212" s="27"/>
      <c r="BZ212" s="27"/>
      <c r="CA212" s="27"/>
      <c r="CB212" s="27"/>
      <c r="CC212" s="27"/>
      <c r="CD212" s="27"/>
      <c r="CE212" s="27"/>
      <c r="CF212" s="27"/>
      <c r="CG212" s="27"/>
      <c r="CH212" s="27"/>
      <c r="CI212" s="27"/>
      <c r="CJ212" s="27"/>
    </row>
    <row r="213" spans="4:88" x14ac:dyDescent="0.25"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/>
      <c r="BP213" s="27"/>
      <c r="BQ213" s="27"/>
      <c r="BR213" s="27"/>
      <c r="BS213" s="27"/>
      <c r="BT213" s="27"/>
      <c r="BU213" s="27"/>
      <c r="BV213" s="27"/>
      <c r="BW213" s="27"/>
      <c r="BX213" s="27"/>
      <c r="BY213" s="27"/>
      <c r="BZ213" s="27"/>
      <c r="CA213" s="27"/>
      <c r="CB213" s="27"/>
      <c r="CC213" s="27"/>
      <c r="CD213" s="27"/>
      <c r="CE213" s="27"/>
      <c r="CF213" s="27"/>
      <c r="CG213" s="27"/>
      <c r="CH213" s="27"/>
      <c r="CI213" s="27"/>
      <c r="CJ213" s="27"/>
    </row>
    <row r="214" spans="4:88" x14ac:dyDescent="0.25"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  <c r="BP214" s="27"/>
      <c r="BQ214" s="27"/>
      <c r="BR214" s="27"/>
      <c r="BS214" s="27"/>
      <c r="BT214" s="27"/>
      <c r="BU214" s="27"/>
      <c r="BV214" s="27"/>
      <c r="BW214" s="27"/>
      <c r="BX214" s="27"/>
      <c r="BY214" s="27"/>
      <c r="BZ214" s="27"/>
      <c r="CA214" s="27"/>
      <c r="CB214" s="27"/>
      <c r="CC214" s="27"/>
      <c r="CD214" s="27"/>
      <c r="CE214" s="27"/>
      <c r="CF214" s="27"/>
      <c r="CG214" s="27"/>
      <c r="CH214" s="27"/>
      <c r="CI214" s="27"/>
      <c r="CJ214" s="27"/>
    </row>
    <row r="215" spans="4:88" x14ac:dyDescent="0.25"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27"/>
      <c r="BK215" s="27"/>
      <c r="BL215" s="27"/>
      <c r="BM215" s="27"/>
      <c r="BN215" s="27"/>
      <c r="BO215" s="27"/>
      <c r="BP215" s="27"/>
      <c r="BQ215" s="27"/>
      <c r="BR215" s="27"/>
      <c r="BS215" s="27"/>
      <c r="BT215" s="27"/>
      <c r="BU215" s="27"/>
      <c r="BV215" s="27"/>
      <c r="BW215" s="27"/>
      <c r="BX215" s="27"/>
      <c r="BY215" s="27"/>
      <c r="BZ215" s="27"/>
      <c r="CA215" s="27"/>
      <c r="CB215" s="27"/>
      <c r="CC215" s="27"/>
      <c r="CD215" s="27"/>
      <c r="CE215" s="27"/>
      <c r="CF215" s="27"/>
      <c r="CG215" s="27"/>
      <c r="CH215" s="27"/>
      <c r="CI215" s="27"/>
      <c r="CJ215" s="27"/>
    </row>
    <row r="216" spans="4:88" x14ac:dyDescent="0.25"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/>
      <c r="BP216" s="27"/>
      <c r="BQ216" s="27"/>
      <c r="BR216" s="27"/>
      <c r="BS216" s="27"/>
      <c r="BT216" s="27"/>
      <c r="BU216" s="27"/>
      <c r="BV216" s="27"/>
      <c r="BW216" s="27"/>
      <c r="BX216" s="27"/>
      <c r="BY216" s="27"/>
      <c r="BZ216" s="27"/>
      <c r="CA216" s="27"/>
      <c r="CB216" s="27"/>
      <c r="CC216" s="27"/>
      <c r="CD216" s="27"/>
      <c r="CE216" s="27"/>
      <c r="CF216" s="27"/>
      <c r="CG216" s="27"/>
      <c r="CH216" s="27"/>
      <c r="CI216" s="27"/>
      <c r="CJ216" s="27"/>
    </row>
    <row r="217" spans="4:88" x14ac:dyDescent="0.25"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27"/>
      <c r="BD217" s="27"/>
      <c r="BE217" s="27"/>
      <c r="BF217" s="27"/>
      <c r="BG217" s="27"/>
      <c r="BH217" s="27"/>
      <c r="BI217" s="27"/>
      <c r="BJ217" s="27"/>
      <c r="BK217" s="27"/>
      <c r="BL217" s="27"/>
      <c r="BM217" s="27"/>
      <c r="BN217" s="27"/>
      <c r="BO217" s="27"/>
      <c r="BP217" s="27"/>
      <c r="BQ217" s="27"/>
      <c r="BR217" s="27"/>
      <c r="BS217" s="27"/>
      <c r="BT217" s="27"/>
      <c r="BU217" s="27"/>
      <c r="BV217" s="27"/>
      <c r="BW217" s="27"/>
      <c r="BX217" s="27"/>
      <c r="BY217" s="27"/>
      <c r="BZ217" s="27"/>
      <c r="CA217" s="27"/>
      <c r="CB217" s="27"/>
      <c r="CC217" s="27"/>
      <c r="CD217" s="27"/>
      <c r="CE217" s="27"/>
      <c r="CF217" s="27"/>
      <c r="CG217" s="27"/>
      <c r="CH217" s="27"/>
      <c r="CI217" s="27"/>
      <c r="CJ217" s="27"/>
    </row>
    <row r="218" spans="4:88" x14ac:dyDescent="0.25"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  <c r="BE218" s="27"/>
      <c r="BF218" s="27"/>
      <c r="BG218" s="27"/>
      <c r="BH218" s="27"/>
      <c r="BI218" s="27"/>
      <c r="BJ218" s="27"/>
      <c r="BK218" s="27"/>
      <c r="BL218" s="27"/>
      <c r="BM218" s="27"/>
      <c r="BN218" s="27"/>
      <c r="BO218" s="27"/>
      <c r="BP218" s="27"/>
      <c r="BQ218" s="27"/>
      <c r="BR218" s="27"/>
      <c r="BS218" s="27"/>
      <c r="BT218" s="27"/>
      <c r="BU218" s="27"/>
      <c r="BV218" s="27"/>
      <c r="BW218" s="27"/>
      <c r="BX218" s="27"/>
      <c r="BY218" s="27"/>
      <c r="BZ218" s="27"/>
      <c r="CA218" s="27"/>
      <c r="CB218" s="27"/>
      <c r="CC218" s="27"/>
      <c r="CD218" s="27"/>
      <c r="CE218" s="27"/>
      <c r="CF218" s="27"/>
      <c r="CG218" s="27"/>
      <c r="CH218" s="27"/>
      <c r="CI218" s="27"/>
      <c r="CJ218" s="27"/>
    </row>
    <row r="219" spans="4:88" x14ac:dyDescent="0.25"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27"/>
      <c r="BD219" s="27"/>
      <c r="BE219" s="27"/>
      <c r="BF219" s="27"/>
      <c r="BG219" s="27"/>
      <c r="BH219" s="27"/>
      <c r="BI219" s="27"/>
      <c r="BJ219" s="27"/>
      <c r="BK219" s="27"/>
      <c r="BL219" s="27"/>
      <c r="BM219" s="27"/>
      <c r="BN219" s="27"/>
      <c r="BO219" s="27"/>
      <c r="BP219" s="27"/>
      <c r="BQ219" s="27"/>
      <c r="BR219" s="27"/>
      <c r="BS219" s="27"/>
      <c r="BT219" s="27"/>
      <c r="BU219" s="27"/>
      <c r="BV219" s="27"/>
      <c r="BW219" s="27"/>
      <c r="BX219" s="27"/>
      <c r="BY219" s="27"/>
      <c r="BZ219" s="27"/>
      <c r="CA219" s="27"/>
      <c r="CB219" s="27"/>
      <c r="CC219" s="27"/>
      <c r="CD219" s="27"/>
      <c r="CE219" s="27"/>
      <c r="CF219" s="27"/>
      <c r="CG219" s="27"/>
      <c r="CH219" s="27"/>
      <c r="CI219" s="27"/>
      <c r="CJ219" s="27"/>
    </row>
    <row r="220" spans="4:88" x14ac:dyDescent="0.25"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27"/>
      <c r="BD220" s="27"/>
      <c r="BE220" s="27"/>
      <c r="BF220" s="27"/>
      <c r="BG220" s="27"/>
      <c r="BH220" s="27"/>
      <c r="BI220" s="27"/>
      <c r="BJ220" s="27"/>
      <c r="BK220" s="27"/>
      <c r="BL220" s="27"/>
      <c r="BM220" s="27"/>
      <c r="BN220" s="27"/>
      <c r="BO220" s="27"/>
      <c r="BP220" s="27"/>
      <c r="BQ220" s="27"/>
      <c r="BR220" s="27"/>
      <c r="BS220" s="27"/>
      <c r="BT220" s="27"/>
      <c r="BU220" s="27"/>
      <c r="BV220" s="27"/>
      <c r="BW220" s="27"/>
      <c r="BX220" s="27"/>
      <c r="BY220" s="27"/>
      <c r="BZ220" s="27"/>
      <c r="CA220" s="27"/>
      <c r="CB220" s="27"/>
      <c r="CC220" s="27"/>
      <c r="CD220" s="27"/>
      <c r="CE220" s="27"/>
      <c r="CF220" s="27"/>
      <c r="CG220" s="27"/>
      <c r="CH220" s="27"/>
      <c r="CI220" s="27"/>
      <c r="CJ220" s="27"/>
    </row>
    <row r="221" spans="4:88" x14ac:dyDescent="0.25"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27"/>
      <c r="BF221" s="27"/>
      <c r="BG221" s="27"/>
      <c r="BH221" s="27"/>
      <c r="BI221" s="27"/>
      <c r="BJ221" s="27"/>
      <c r="BK221" s="27"/>
      <c r="BL221" s="27"/>
      <c r="BM221" s="27"/>
      <c r="BN221" s="27"/>
      <c r="BO221" s="27"/>
      <c r="BP221" s="27"/>
      <c r="BQ221" s="27"/>
      <c r="BR221" s="27"/>
      <c r="BS221" s="27"/>
      <c r="BT221" s="27"/>
      <c r="BU221" s="27"/>
      <c r="BV221" s="27"/>
      <c r="BW221" s="27"/>
      <c r="BX221" s="27"/>
      <c r="BY221" s="27"/>
      <c r="BZ221" s="27"/>
      <c r="CA221" s="27"/>
      <c r="CB221" s="27"/>
      <c r="CC221" s="27"/>
      <c r="CD221" s="27"/>
      <c r="CE221" s="27"/>
      <c r="CF221" s="27"/>
      <c r="CG221" s="27"/>
      <c r="CH221" s="27"/>
      <c r="CI221" s="27"/>
      <c r="CJ221" s="27"/>
    </row>
    <row r="222" spans="4:88" x14ac:dyDescent="0.25"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27"/>
      <c r="BD222" s="27"/>
      <c r="BE222" s="27"/>
      <c r="BF222" s="27"/>
      <c r="BG222" s="27"/>
      <c r="BH222" s="27"/>
      <c r="BI222" s="27"/>
      <c r="BJ222" s="27"/>
      <c r="BK222" s="27"/>
      <c r="BL222" s="27"/>
      <c r="BM222" s="27"/>
      <c r="BN222" s="27"/>
      <c r="BO222" s="27"/>
      <c r="BP222" s="27"/>
      <c r="BQ222" s="27"/>
      <c r="BR222" s="27"/>
      <c r="BS222" s="27"/>
      <c r="BT222" s="27"/>
      <c r="BU222" s="27"/>
      <c r="BV222" s="27"/>
      <c r="BW222" s="27"/>
      <c r="BX222" s="27"/>
      <c r="BY222" s="27"/>
      <c r="BZ222" s="27"/>
      <c r="CA222" s="27"/>
      <c r="CB222" s="27"/>
      <c r="CC222" s="27"/>
      <c r="CD222" s="27"/>
      <c r="CE222" s="27"/>
      <c r="CF222" s="27"/>
      <c r="CG222" s="27"/>
      <c r="CH222" s="27"/>
      <c r="CI222" s="27"/>
      <c r="CJ222" s="27"/>
    </row>
    <row r="223" spans="4:88" x14ac:dyDescent="0.25"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7"/>
      <c r="BP223" s="27"/>
      <c r="BQ223" s="27"/>
      <c r="BR223" s="27"/>
      <c r="BS223" s="27"/>
      <c r="BT223" s="27"/>
      <c r="BU223" s="27"/>
      <c r="BV223" s="27"/>
      <c r="BW223" s="27"/>
      <c r="BX223" s="27"/>
      <c r="BY223" s="27"/>
      <c r="BZ223" s="27"/>
      <c r="CA223" s="27"/>
      <c r="CB223" s="27"/>
      <c r="CC223" s="27"/>
      <c r="CD223" s="27"/>
      <c r="CE223" s="27"/>
      <c r="CF223" s="27"/>
      <c r="CG223" s="27"/>
      <c r="CH223" s="27"/>
      <c r="CI223" s="27"/>
      <c r="CJ223" s="27"/>
    </row>
    <row r="224" spans="4:88" x14ac:dyDescent="0.25"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27"/>
      <c r="BD224" s="27"/>
      <c r="BE224" s="27"/>
      <c r="BF224" s="27"/>
      <c r="BG224" s="27"/>
      <c r="BH224" s="27"/>
      <c r="BI224" s="27"/>
      <c r="BJ224" s="27"/>
      <c r="BK224" s="27"/>
      <c r="BL224" s="27"/>
      <c r="BM224" s="27"/>
      <c r="BN224" s="27"/>
      <c r="BO224" s="27"/>
      <c r="BP224" s="27"/>
      <c r="BQ224" s="27"/>
      <c r="BR224" s="27"/>
      <c r="BS224" s="27"/>
      <c r="BT224" s="27"/>
      <c r="BU224" s="27"/>
      <c r="BV224" s="27"/>
      <c r="BW224" s="27"/>
      <c r="BX224" s="27"/>
      <c r="BY224" s="27"/>
      <c r="BZ224" s="27"/>
      <c r="CA224" s="27"/>
      <c r="CB224" s="27"/>
      <c r="CC224" s="27"/>
      <c r="CD224" s="27"/>
      <c r="CE224" s="27"/>
      <c r="CF224" s="27"/>
      <c r="CG224" s="27"/>
      <c r="CH224" s="27"/>
      <c r="CI224" s="27"/>
      <c r="CJ224" s="27"/>
    </row>
    <row r="225" spans="4:88" x14ac:dyDescent="0.25"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  <c r="BE225" s="27"/>
      <c r="BF225" s="27"/>
      <c r="BG225" s="27"/>
      <c r="BH225" s="27"/>
      <c r="BI225" s="27"/>
      <c r="BJ225" s="27"/>
      <c r="BK225" s="27"/>
      <c r="BL225" s="27"/>
      <c r="BM225" s="27"/>
      <c r="BN225" s="27"/>
      <c r="BO225" s="27"/>
      <c r="BP225" s="27"/>
      <c r="BQ225" s="27"/>
      <c r="BR225" s="27"/>
      <c r="BS225" s="27"/>
      <c r="BT225" s="27"/>
      <c r="BU225" s="27"/>
      <c r="BV225" s="27"/>
      <c r="BW225" s="27"/>
      <c r="BX225" s="27"/>
      <c r="BY225" s="27"/>
      <c r="BZ225" s="27"/>
      <c r="CA225" s="27"/>
      <c r="CB225" s="27"/>
      <c r="CC225" s="27"/>
      <c r="CD225" s="27"/>
      <c r="CE225" s="27"/>
      <c r="CF225" s="27"/>
      <c r="CG225" s="27"/>
      <c r="CH225" s="27"/>
      <c r="CI225" s="27"/>
      <c r="CJ225" s="27"/>
    </row>
    <row r="226" spans="4:88" x14ac:dyDescent="0.25"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/>
      <c r="BB226" s="27"/>
      <c r="BC226" s="27"/>
      <c r="BD226" s="27"/>
      <c r="BE226" s="27"/>
      <c r="BF226" s="27"/>
      <c r="BG226" s="27"/>
      <c r="BH226" s="27"/>
      <c r="BI226" s="27"/>
      <c r="BJ226" s="27"/>
      <c r="BK226" s="27"/>
      <c r="BL226" s="27"/>
      <c r="BM226" s="27"/>
      <c r="BN226" s="27"/>
      <c r="BO226" s="27"/>
      <c r="BP226" s="27"/>
      <c r="BQ226" s="27"/>
      <c r="BR226" s="27"/>
      <c r="BS226" s="27"/>
      <c r="BT226" s="27"/>
      <c r="BU226" s="27"/>
      <c r="BV226" s="27"/>
      <c r="BW226" s="27"/>
      <c r="BX226" s="27"/>
      <c r="BY226" s="27"/>
      <c r="BZ226" s="27"/>
      <c r="CA226" s="27"/>
      <c r="CB226" s="27"/>
      <c r="CC226" s="27"/>
      <c r="CD226" s="27"/>
      <c r="CE226" s="27"/>
      <c r="CF226" s="27"/>
      <c r="CG226" s="27"/>
      <c r="CH226" s="27"/>
      <c r="CI226" s="27"/>
      <c r="CJ226" s="27"/>
    </row>
    <row r="227" spans="4:88" x14ac:dyDescent="0.25"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27"/>
      <c r="BC227" s="27"/>
      <c r="BD227" s="27"/>
      <c r="BE227" s="27"/>
      <c r="BF227" s="27"/>
      <c r="BG227" s="27"/>
      <c r="BH227" s="27"/>
      <c r="BI227" s="27"/>
      <c r="BJ227" s="27"/>
      <c r="BK227" s="27"/>
      <c r="BL227" s="27"/>
      <c r="BM227" s="27"/>
      <c r="BN227" s="27"/>
      <c r="BO227" s="27"/>
      <c r="BP227" s="27"/>
      <c r="BQ227" s="27"/>
      <c r="BR227" s="27"/>
      <c r="BS227" s="27"/>
      <c r="BT227" s="27"/>
      <c r="BU227" s="27"/>
      <c r="BV227" s="27"/>
      <c r="BW227" s="27"/>
      <c r="BX227" s="27"/>
      <c r="BY227" s="27"/>
      <c r="BZ227" s="27"/>
      <c r="CA227" s="27"/>
      <c r="CB227" s="27"/>
      <c r="CC227" s="27"/>
      <c r="CD227" s="27"/>
      <c r="CE227" s="27"/>
      <c r="CF227" s="27"/>
      <c r="CG227" s="27"/>
      <c r="CH227" s="27"/>
      <c r="CI227" s="27"/>
      <c r="CJ227" s="27"/>
    </row>
    <row r="228" spans="4:88" x14ac:dyDescent="0.25"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27"/>
      <c r="BD228" s="27"/>
      <c r="BE228" s="27"/>
      <c r="BF228" s="27"/>
      <c r="BG228" s="27"/>
      <c r="BH228" s="27"/>
      <c r="BI228" s="27"/>
      <c r="BJ228" s="27"/>
      <c r="BK228" s="27"/>
      <c r="BL228" s="27"/>
      <c r="BM228" s="27"/>
      <c r="BN228" s="27"/>
      <c r="BO228" s="27"/>
      <c r="BP228" s="27"/>
      <c r="BQ228" s="27"/>
      <c r="BR228" s="27"/>
      <c r="BS228" s="27"/>
      <c r="BT228" s="27"/>
      <c r="BU228" s="27"/>
      <c r="BV228" s="27"/>
      <c r="BW228" s="27"/>
      <c r="BX228" s="27"/>
      <c r="BY228" s="27"/>
      <c r="BZ228" s="27"/>
      <c r="CA228" s="27"/>
      <c r="CB228" s="27"/>
      <c r="CC228" s="27"/>
      <c r="CD228" s="27"/>
      <c r="CE228" s="27"/>
      <c r="CF228" s="27"/>
      <c r="CG228" s="27"/>
      <c r="CH228" s="27"/>
      <c r="CI228" s="27"/>
      <c r="CJ228" s="27"/>
    </row>
    <row r="229" spans="4:88" x14ac:dyDescent="0.25"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27"/>
      <c r="BB229" s="27"/>
      <c r="BC229" s="27"/>
      <c r="BD229" s="27"/>
      <c r="BE229" s="27"/>
      <c r="BF229" s="27"/>
      <c r="BG229" s="27"/>
      <c r="BH229" s="27"/>
      <c r="BI229" s="27"/>
      <c r="BJ229" s="27"/>
      <c r="BK229" s="27"/>
      <c r="BL229" s="27"/>
      <c r="BM229" s="27"/>
      <c r="BN229" s="27"/>
      <c r="BO229" s="27"/>
      <c r="BP229" s="27"/>
      <c r="BQ229" s="27"/>
      <c r="BR229" s="27"/>
      <c r="BS229" s="27"/>
      <c r="BT229" s="27"/>
      <c r="BU229" s="27"/>
      <c r="BV229" s="27"/>
      <c r="BW229" s="27"/>
      <c r="BX229" s="27"/>
      <c r="BY229" s="27"/>
      <c r="BZ229" s="27"/>
      <c r="CA229" s="27"/>
      <c r="CB229" s="27"/>
      <c r="CC229" s="27"/>
      <c r="CD229" s="27"/>
      <c r="CE229" s="27"/>
      <c r="CF229" s="27"/>
      <c r="CG229" s="27"/>
      <c r="CH229" s="27"/>
      <c r="CI229" s="27"/>
      <c r="CJ229" s="27"/>
    </row>
    <row r="230" spans="4:88" x14ac:dyDescent="0.25"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  <c r="BN230" s="27"/>
      <c r="BO230" s="27"/>
      <c r="BP230" s="27"/>
      <c r="BQ230" s="27"/>
      <c r="BR230" s="27"/>
      <c r="BS230" s="27"/>
      <c r="BT230" s="27"/>
      <c r="BU230" s="27"/>
      <c r="BV230" s="27"/>
      <c r="BW230" s="27"/>
      <c r="BX230" s="27"/>
      <c r="BY230" s="27"/>
      <c r="BZ230" s="27"/>
      <c r="CA230" s="27"/>
      <c r="CB230" s="27"/>
      <c r="CC230" s="27"/>
      <c r="CD230" s="27"/>
      <c r="CE230" s="27"/>
      <c r="CF230" s="27"/>
      <c r="CG230" s="27"/>
      <c r="CH230" s="27"/>
      <c r="CI230" s="27"/>
      <c r="CJ230" s="27"/>
    </row>
    <row r="231" spans="4:88" x14ac:dyDescent="0.25"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7"/>
      <c r="BP231" s="27"/>
      <c r="BQ231" s="27"/>
      <c r="BR231" s="27"/>
      <c r="BS231" s="27"/>
      <c r="BT231" s="27"/>
      <c r="BU231" s="27"/>
      <c r="BV231" s="27"/>
      <c r="BW231" s="27"/>
      <c r="BX231" s="27"/>
      <c r="BY231" s="27"/>
      <c r="BZ231" s="27"/>
      <c r="CA231" s="27"/>
      <c r="CB231" s="27"/>
      <c r="CC231" s="27"/>
      <c r="CD231" s="27"/>
      <c r="CE231" s="27"/>
      <c r="CF231" s="27"/>
      <c r="CG231" s="27"/>
      <c r="CH231" s="27"/>
      <c r="CI231" s="27"/>
      <c r="CJ231" s="27"/>
    </row>
    <row r="232" spans="4:88" x14ac:dyDescent="0.25"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  <c r="BJ232" s="27"/>
      <c r="BK232" s="27"/>
      <c r="BL232" s="27"/>
      <c r="BM232" s="27"/>
      <c r="BN232" s="27"/>
      <c r="BO232" s="27"/>
      <c r="BP232" s="27"/>
      <c r="BQ232" s="27"/>
      <c r="BR232" s="27"/>
      <c r="BS232" s="27"/>
      <c r="BT232" s="27"/>
      <c r="BU232" s="27"/>
      <c r="BV232" s="27"/>
      <c r="BW232" s="27"/>
      <c r="BX232" s="27"/>
      <c r="BY232" s="27"/>
      <c r="BZ232" s="27"/>
      <c r="CA232" s="27"/>
      <c r="CB232" s="27"/>
      <c r="CC232" s="27"/>
      <c r="CD232" s="27"/>
      <c r="CE232" s="27"/>
      <c r="CF232" s="27"/>
      <c r="CG232" s="27"/>
      <c r="CH232" s="27"/>
      <c r="CI232" s="27"/>
      <c r="CJ232" s="27"/>
    </row>
    <row r="233" spans="4:88" x14ac:dyDescent="0.25"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  <c r="BN233" s="27"/>
      <c r="BO233" s="27"/>
      <c r="BP233" s="27"/>
      <c r="BQ233" s="27"/>
      <c r="BR233" s="27"/>
      <c r="BS233" s="27"/>
      <c r="BT233" s="27"/>
      <c r="BU233" s="27"/>
      <c r="BV233" s="27"/>
      <c r="BW233" s="27"/>
      <c r="BX233" s="27"/>
      <c r="BY233" s="27"/>
      <c r="BZ233" s="27"/>
      <c r="CA233" s="27"/>
      <c r="CB233" s="27"/>
      <c r="CC233" s="27"/>
      <c r="CD233" s="27"/>
      <c r="CE233" s="27"/>
      <c r="CF233" s="27"/>
      <c r="CG233" s="27"/>
      <c r="CH233" s="27"/>
      <c r="CI233" s="27"/>
      <c r="CJ233" s="27"/>
    </row>
    <row r="234" spans="4:88" x14ac:dyDescent="0.25"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27"/>
      <c r="BJ234" s="27"/>
      <c r="BK234" s="27"/>
      <c r="BL234" s="27"/>
      <c r="BM234" s="27"/>
      <c r="BN234" s="27"/>
      <c r="BO234" s="27"/>
      <c r="BP234" s="27"/>
      <c r="BQ234" s="27"/>
      <c r="BR234" s="27"/>
      <c r="BS234" s="27"/>
      <c r="BT234" s="27"/>
      <c r="BU234" s="27"/>
      <c r="BV234" s="27"/>
      <c r="BW234" s="27"/>
      <c r="BX234" s="27"/>
      <c r="BY234" s="27"/>
      <c r="BZ234" s="27"/>
      <c r="CA234" s="27"/>
      <c r="CB234" s="27"/>
      <c r="CC234" s="27"/>
      <c r="CD234" s="27"/>
      <c r="CE234" s="27"/>
      <c r="CF234" s="27"/>
      <c r="CG234" s="27"/>
      <c r="CH234" s="27"/>
      <c r="CI234" s="27"/>
      <c r="CJ234" s="27"/>
    </row>
    <row r="235" spans="4:88" x14ac:dyDescent="0.25"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27"/>
      <c r="BD235" s="27"/>
      <c r="BE235" s="27"/>
      <c r="BF235" s="27"/>
      <c r="BG235" s="27"/>
      <c r="BH235" s="27"/>
      <c r="BI235" s="27"/>
      <c r="BJ235" s="27"/>
      <c r="BK235" s="27"/>
      <c r="BL235" s="27"/>
      <c r="BM235" s="27"/>
      <c r="BN235" s="27"/>
      <c r="BO235" s="27"/>
      <c r="BP235" s="27"/>
      <c r="BQ235" s="27"/>
      <c r="BR235" s="27"/>
      <c r="BS235" s="27"/>
      <c r="BT235" s="27"/>
      <c r="BU235" s="27"/>
      <c r="BV235" s="27"/>
      <c r="BW235" s="27"/>
      <c r="BX235" s="27"/>
      <c r="BY235" s="27"/>
      <c r="BZ235" s="27"/>
      <c r="CA235" s="27"/>
      <c r="CB235" s="27"/>
      <c r="CC235" s="27"/>
      <c r="CD235" s="27"/>
      <c r="CE235" s="27"/>
      <c r="CF235" s="27"/>
      <c r="CG235" s="27"/>
      <c r="CH235" s="27"/>
      <c r="CI235" s="27"/>
      <c r="CJ235" s="27"/>
    </row>
    <row r="236" spans="4:88" x14ac:dyDescent="0.25"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27"/>
      <c r="BD236" s="27"/>
      <c r="BE236" s="27"/>
      <c r="BF236" s="27"/>
      <c r="BG236" s="27"/>
      <c r="BH236" s="27"/>
      <c r="BI236" s="27"/>
      <c r="BJ236" s="27"/>
      <c r="BK236" s="27"/>
      <c r="BL236" s="27"/>
      <c r="BM236" s="27"/>
      <c r="BN236" s="27"/>
      <c r="BO236" s="27"/>
      <c r="BP236" s="27"/>
      <c r="BQ236" s="27"/>
      <c r="BR236" s="27"/>
      <c r="BS236" s="27"/>
      <c r="BT236" s="27"/>
      <c r="BU236" s="27"/>
      <c r="BV236" s="27"/>
      <c r="BW236" s="27"/>
      <c r="BX236" s="27"/>
      <c r="BY236" s="27"/>
      <c r="BZ236" s="27"/>
      <c r="CA236" s="27"/>
      <c r="CB236" s="27"/>
      <c r="CC236" s="27"/>
      <c r="CD236" s="27"/>
      <c r="CE236" s="27"/>
      <c r="CF236" s="27"/>
      <c r="CG236" s="27"/>
      <c r="CH236" s="27"/>
      <c r="CI236" s="27"/>
      <c r="CJ236" s="27"/>
    </row>
    <row r="237" spans="4:88" x14ac:dyDescent="0.25"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  <c r="BA237" s="27"/>
      <c r="BB237" s="27"/>
      <c r="BC237" s="27"/>
      <c r="BD237" s="27"/>
      <c r="BE237" s="27"/>
      <c r="BF237" s="27"/>
      <c r="BG237" s="27"/>
      <c r="BH237" s="27"/>
      <c r="BI237" s="27"/>
      <c r="BJ237" s="27"/>
      <c r="BK237" s="27"/>
      <c r="BL237" s="27"/>
      <c r="BM237" s="27"/>
      <c r="BN237" s="27"/>
      <c r="BO237" s="27"/>
      <c r="BP237" s="27"/>
      <c r="BQ237" s="27"/>
      <c r="BR237" s="27"/>
      <c r="BS237" s="27"/>
      <c r="BT237" s="27"/>
      <c r="BU237" s="27"/>
      <c r="BV237" s="27"/>
      <c r="BW237" s="27"/>
      <c r="BX237" s="27"/>
      <c r="BY237" s="27"/>
      <c r="BZ237" s="27"/>
      <c r="CA237" s="27"/>
      <c r="CB237" s="27"/>
      <c r="CC237" s="27"/>
      <c r="CD237" s="27"/>
      <c r="CE237" s="27"/>
      <c r="CF237" s="27"/>
      <c r="CG237" s="27"/>
      <c r="CH237" s="27"/>
      <c r="CI237" s="27"/>
      <c r="CJ237" s="27"/>
    </row>
    <row r="238" spans="4:88" x14ac:dyDescent="0.25"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27"/>
      <c r="BD238" s="27"/>
      <c r="BE238" s="27"/>
      <c r="BF238" s="27"/>
      <c r="BG238" s="27"/>
      <c r="BH238" s="27"/>
      <c r="BI238" s="27"/>
      <c r="BJ238" s="27"/>
      <c r="BK238" s="27"/>
      <c r="BL238" s="27"/>
      <c r="BM238" s="27"/>
      <c r="BN238" s="27"/>
      <c r="BO238" s="27"/>
      <c r="BP238" s="27"/>
      <c r="BQ238" s="27"/>
      <c r="BR238" s="27"/>
      <c r="BS238" s="27"/>
      <c r="BT238" s="27"/>
      <c r="BU238" s="27"/>
      <c r="BV238" s="27"/>
      <c r="BW238" s="27"/>
      <c r="BX238" s="27"/>
      <c r="BY238" s="27"/>
      <c r="BZ238" s="27"/>
      <c r="CA238" s="27"/>
      <c r="CB238" s="27"/>
      <c r="CC238" s="27"/>
      <c r="CD238" s="27"/>
      <c r="CE238" s="27"/>
      <c r="CF238" s="27"/>
      <c r="CG238" s="27"/>
      <c r="CH238" s="27"/>
      <c r="CI238" s="27"/>
      <c r="CJ238" s="27"/>
    </row>
    <row r="239" spans="4:88" x14ac:dyDescent="0.25"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/>
      <c r="BE239" s="27"/>
      <c r="BF239" s="27"/>
      <c r="BG239" s="27"/>
      <c r="BH239" s="27"/>
      <c r="BI239" s="27"/>
      <c r="BJ239" s="27"/>
      <c r="BK239" s="27"/>
      <c r="BL239" s="27"/>
      <c r="BM239" s="27"/>
      <c r="BN239" s="27"/>
      <c r="BO239" s="27"/>
      <c r="BP239" s="27"/>
      <c r="BQ239" s="27"/>
      <c r="BR239" s="27"/>
      <c r="BS239" s="27"/>
      <c r="BT239" s="27"/>
      <c r="BU239" s="27"/>
      <c r="BV239" s="27"/>
      <c r="BW239" s="27"/>
      <c r="BX239" s="27"/>
      <c r="BY239" s="27"/>
      <c r="BZ239" s="27"/>
      <c r="CA239" s="27"/>
      <c r="CB239" s="27"/>
      <c r="CC239" s="27"/>
      <c r="CD239" s="27"/>
      <c r="CE239" s="27"/>
      <c r="CF239" s="27"/>
      <c r="CG239" s="27"/>
      <c r="CH239" s="27"/>
      <c r="CI239" s="27"/>
      <c r="CJ239" s="27"/>
    </row>
    <row r="240" spans="4:88" x14ac:dyDescent="0.25"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27"/>
      <c r="BD240" s="27"/>
      <c r="BE240" s="27"/>
      <c r="BF240" s="27"/>
      <c r="BG240" s="27"/>
      <c r="BH240" s="27"/>
      <c r="BI240" s="27"/>
      <c r="BJ240" s="27"/>
      <c r="BK240" s="27"/>
      <c r="BL240" s="27"/>
      <c r="BM240" s="27"/>
      <c r="BN240" s="27"/>
      <c r="BO240" s="27"/>
      <c r="BP240" s="27"/>
      <c r="BQ240" s="27"/>
      <c r="BR240" s="27"/>
      <c r="BS240" s="27"/>
      <c r="BT240" s="27"/>
      <c r="BU240" s="27"/>
      <c r="BV240" s="27"/>
      <c r="BW240" s="27"/>
      <c r="BX240" s="27"/>
      <c r="BY240" s="27"/>
      <c r="BZ240" s="27"/>
      <c r="CA240" s="27"/>
      <c r="CB240" s="27"/>
      <c r="CC240" s="27"/>
      <c r="CD240" s="27"/>
      <c r="CE240" s="27"/>
      <c r="CF240" s="27"/>
      <c r="CG240" s="27"/>
      <c r="CH240" s="27"/>
      <c r="CI240" s="27"/>
      <c r="CJ240" s="27"/>
    </row>
    <row r="241" spans="4:88" x14ac:dyDescent="0.25"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27"/>
      <c r="BB241" s="27"/>
      <c r="BC241" s="27"/>
      <c r="BD241" s="27"/>
      <c r="BE241" s="27"/>
      <c r="BF241" s="27"/>
      <c r="BG241" s="27"/>
      <c r="BH241" s="27"/>
      <c r="BI241" s="27"/>
      <c r="BJ241" s="27"/>
      <c r="BK241" s="27"/>
      <c r="BL241" s="27"/>
      <c r="BM241" s="27"/>
      <c r="BN241" s="27"/>
      <c r="BO241" s="27"/>
      <c r="BP241" s="27"/>
      <c r="BQ241" s="27"/>
      <c r="BR241" s="27"/>
      <c r="BS241" s="27"/>
      <c r="BT241" s="27"/>
      <c r="BU241" s="27"/>
      <c r="BV241" s="27"/>
      <c r="BW241" s="27"/>
      <c r="BX241" s="27"/>
      <c r="BY241" s="27"/>
      <c r="BZ241" s="27"/>
      <c r="CA241" s="27"/>
      <c r="CB241" s="27"/>
      <c r="CC241" s="27"/>
      <c r="CD241" s="27"/>
      <c r="CE241" s="27"/>
      <c r="CF241" s="27"/>
      <c r="CG241" s="27"/>
      <c r="CH241" s="27"/>
      <c r="CI241" s="27"/>
      <c r="CJ241" s="27"/>
    </row>
    <row r="242" spans="4:88" x14ac:dyDescent="0.25"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27"/>
      <c r="BD242" s="27"/>
      <c r="BE242" s="27"/>
      <c r="BF242" s="27"/>
      <c r="BG242" s="27"/>
      <c r="BH242" s="27"/>
      <c r="BI242" s="27"/>
      <c r="BJ242" s="27"/>
      <c r="BK242" s="27"/>
      <c r="BL242" s="27"/>
      <c r="BM242" s="27"/>
      <c r="BN242" s="27"/>
      <c r="BO242" s="27"/>
      <c r="BP242" s="27"/>
      <c r="BQ242" s="27"/>
      <c r="BR242" s="27"/>
      <c r="BS242" s="27"/>
      <c r="BT242" s="27"/>
      <c r="BU242" s="27"/>
      <c r="BV242" s="27"/>
      <c r="BW242" s="27"/>
      <c r="BX242" s="27"/>
      <c r="BY242" s="27"/>
      <c r="BZ242" s="27"/>
      <c r="CA242" s="27"/>
      <c r="CB242" s="27"/>
      <c r="CC242" s="27"/>
      <c r="CD242" s="27"/>
      <c r="CE242" s="27"/>
      <c r="CF242" s="27"/>
      <c r="CG242" s="27"/>
      <c r="CH242" s="27"/>
      <c r="CI242" s="27"/>
      <c r="CJ242" s="27"/>
    </row>
    <row r="243" spans="4:88" x14ac:dyDescent="0.25"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27"/>
      <c r="AX243" s="27"/>
      <c r="AY243" s="27"/>
      <c r="AZ243" s="27"/>
      <c r="BA243" s="27"/>
      <c r="BB243" s="27"/>
      <c r="BC243" s="27"/>
      <c r="BD243" s="27"/>
      <c r="BE243" s="27"/>
      <c r="BF243" s="27"/>
      <c r="BG243" s="27"/>
      <c r="BH243" s="27"/>
      <c r="BI243" s="27"/>
      <c r="BJ243" s="27"/>
      <c r="BK243" s="27"/>
      <c r="BL243" s="27"/>
      <c r="BM243" s="27"/>
      <c r="BN243" s="27"/>
      <c r="BO243" s="27"/>
      <c r="BP243" s="27"/>
      <c r="BQ243" s="27"/>
      <c r="BR243" s="27"/>
      <c r="BS243" s="27"/>
      <c r="BT243" s="27"/>
      <c r="BU243" s="27"/>
      <c r="BV243" s="27"/>
      <c r="BW243" s="27"/>
      <c r="BX243" s="27"/>
      <c r="BY243" s="27"/>
      <c r="BZ243" s="27"/>
      <c r="CA243" s="27"/>
      <c r="CB243" s="27"/>
      <c r="CC243" s="27"/>
      <c r="CD243" s="27"/>
      <c r="CE243" s="27"/>
      <c r="CF243" s="27"/>
      <c r="CG243" s="27"/>
      <c r="CH243" s="27"/>
      <c r="CI243" s="27"/>
      <c r="CJ243" s="27"/>
    </row>
    <row r="244" spans="4:88" x14ac:dyDescent="0.25"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27"/>
      <c r="BB244" s="27"/>
      <c r="BC244" s="27"/>
      <c r="BD244" s="27"/>
      <c r="BE244" s="27"/>
      <c r="BF244" s="27"/>
      <c r="BG244" s="27"/>
      <c r="BH244" s="27"/>
      <c r="BI244" s="27"/>
      <c r="BJ244" s="27"/>
      <c r="BK244" s="27"/>
      <c r="BL244" s="27"/>
      <c r="BM244" s="27"/>
      <c r="BN244" s="27"/>
      <c r="BO244" s="27"/>
      <c r="BP244" s="27"/>
      <c r="BQ244" s="27"/>
      <c r="BR244" s="27"/>
      <c r="BS244" s="27"/>
      <c r="BT244" s="27"/>
      <c r="BU244" s="27"/>
      <c r="BV244" s="27"/>
      <c r="BW244" s="27"/>
      <c r="BX244" s="27"/>
      <c r="BY244" s="27"/>
      <c r="BZ244" s="27"/>
      <c r="CA244" s="27"/>
      <c r="CB244" s="27"/>
      <c r="CC244" s="27"/>
      <c r="CD244" s="27"/>
      <c r="CE244" s="27"/>
      <c r="CF244" s="27"/>
      <c r="CG244" s="27"/>
      <c r="CH244" s="27"/>
      <c r="CI244" s="27"/>
      <c r="CJ244" s="27"/>
    </row>
    <row r="245" spans="4:88" x14ac:dyDescent="0.25"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27"/>
      <c r="BC245" s="27"/>
      <c r="BD245" s="27"/>
      <c r="BE245" s="27"/>
      <c r="BF245" s="27"/>
      <c r="BG245" s="27"/>
      <c r="BH245" s="27"/>
      <c r="BI245" s="27"/>
      <c r="BJ245" s="27"/>
      <c r="BK245" s="27"/>
      <c r="BL245" s="27"/>
      <c r="BM245" s="27"/>
      <c r="BN245" s="27"/>
      <c r="BO245" s="27"/>
      <c r="BP245" s="27"/>
      <c r="BQ245" s="27"/>
      <c r="BR245" s="27"/>
      <c r="BS245" s="27"/>
      <c r="BT245" s="27"/>
      <c r="BU245" s="27"/>
      <c r="BV245" s="27"/>
      <c r="BW245" s="27"/>
      <c r="BX245" s="27"/>
      <c r="BY245" s="27"/>
      <c r="BZ245" s="27"/>
      <c r="CA245" s="27"/>
      <c r="CB245" s="27"/>
      <c r="CC245" s="27"/>
      <c r="CD245" s="27"/>
      <c r="CE245" s="27"/>
      <c r="CF245" s="27"/>
      <c r="CG245" s="27"/>
      <c r="CH245" s="27"/>
      <c r="CI245" s="27"/>
      <c r="CJ245" s="27"/>
    </row>
    <row r="246" spans="4:88" x14ac:dyDescent="0.25"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27"/>
      <c r="BB246" s="27"/>
      <c r="BC246" s="27"/>
      <c r="BD246" s="27"/>
      <c r="BE246" s="27"/>
      <c r="BF246" s="27"/>
      <c r="BG246" s="27"/>
      <c r="BH246" s="27"/>
      <c r="BI246" s="27"/>
      <c r="BJ246" s="27"/>
      <c r="BK246" s="27"/>
      <c r="BL246" s="27"/>
      <c r="BM246" s="27"/>
      <c r="BN246" s="27"/>
      <c r="BO246" s="27"/>
      <c r="BP246" s="27"/>
      <c r="BQ246" s="27"/>
      <c r="BR246" s="27"/>
      <c r="BS246" s="27"/>
      <c r="BT246" s="27"/>
      <c r="BU246" s="27"/>
      <c r="BV246" s="27"/>
      <c r="BW246" s="27"/>
      <c r="BX246" s="27"/>
      <c r="BY246" s="27"/>
      <c r="BZ246" s="27"/>
      <c r="CA246" s="27"/>
      <c r="CB246" s="27"/>
      <c r="CC246" s="27"/>
      <c r="CD246" s="27"/>
      <c r="CE246" s="27"/>
      <c r="CF246" s="27"/>
      <c r="CG246" s="27"/>
      <c r="CH246" s="27"/>
      <c r="CI246" s="27"/>
      <c r="CJ246" s="27"/>
    </row>
    <row r="247" spans="4:88" x14ac:dyDescent="0.25"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27"/>
      <c r="AX247" s="27"/>
      <c r="AY247" s="27"/>
      <c r="AZ247" s="27"/>
      <c r="BA247" s="27"/>
      <c r="BB247" s="27"/>
      <c r="BC247" s="27"/>
      <c r="BD247" s="27"/>
      <c r="BE247" s="27"/>
      <c r="BF247" s="27"/>
      <c r="BG247" s="27"/>
      <c r="BH247" s="27"/>
      <c r="BI247" s="27"/>
      <c r="BJ247" s="27"/>
      <c r="BK247" s="27"/>
      <c r="BL247" s="27"/>
      <c r="BM247" s="27"/>
      <c r="BN247" s="27"/>
      <c r="BO247" s="27"/>
      <c r="BP247" s="27"/>
      <c r="BQ247" s="27"/>
      <c r="BR247" s="27"/>
      <c r="BS247" s="27"/>
      <c r="BT247" s="27"/>
      <c r="BU247" s="27"/>
      <c r="BV247" s="27"/>
      <c r="BW247" s="27"/>
      <c r="BX247" s="27"/>
      <c r="BY247" s="27"/>
      <c r="BZ247" s="27"/>
      <c r="CA247" s="27"/>
      <c r="CB247" s="27"/>
      <c r="CC247" s="27"/>
      <c r="CD247" s="27"/>
      <c r="CE247" s="27"/>
      <c r="CF247" s="27"/>
      <c r="CG247" s="27"/>
      <c r="CH247" s="27"/>
      <c r="CI247" s="27"/>
      <c r="CJ247" s="27"/>
    </row>
    <row r="248" spans="4:88" x14ac:dyDescent="0.25"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27"/>
      <c r="BB248" s="27"/>
      <c r="BC248" s="27"/>
      <c r="BD248" s="27"/>
      <c r="BE248" s="27"/>
      <c r="BF248" s="27"/>
      <c r="BG248" s="27"/>
      <c r="BH248" s="27"/>
      <c r="BI248" s="27"/>
      <c r="BJ248" s="27"/>
      <c r="BK248" s="27"/>
      <c r="BL248" s="27"/>
      <c r="BM248" s="27"/>
      <c r="BN248" s="27"/>
      <c r="BO248" s="27"/>
      <c r="BP248" s="27"/>
      <c r="BQ248" s="27"/>
      <c r="BR248" s="27"/>
      <c r="BS248" s="27"/>
      <c r="BT248" s="27"/>
      <c r="BU248" s="27"/>
      <c r="BV248" s="27"/>
      <c r="BW248" s="27"/>
      <c r="BX248" s="27"/>
      <c r="BY248" s="27"/>
      <c r="BZ248" s="27"/>
      <c r="CA248" s="27"/>
      <c r="CB248" s="27"/>
      <c r="CC248" s="27"/>
      <c r="CD248" s="27"/>
      <c r="CE248" s="27"/>
      <c r="CF248" s="27"/>
      <c r="CG248" s="27"/>
      <c r="CH248" s="27"/>
      <c r="CI248" s="27"/>
      <c r="CJ248" s="27"/>
    </row>
    <row r="249" spans="4:88" x14ac:dyDescent="0.25"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  <c r="AW249" s="27"/>
      <c r="AX249" s="27"/>
      <c r="AY249" s="27"/>
      <c r="AZ249" s="27"/>
      <c r="BA249" s="27"/>
      <c r="BB249" s="27"/>
      <c r="BC249" s="27"/>
      <c r="BD249" s="27"/>
      <c r="BE249" s="27"/>
      <c r="BF249" s="27"/>
      <c r="BG249" s="27"/>
      <c r="BH249" s="27"/>
      <c r="BI249" s="27"/>
      <c r="BJ249" s="27"/>
      <c r="BK249" s="27"/>
      <c r="BL249" s="27"/>
      <c r="BM249" s="27"/>
      <c r="BN249" s="27"/>
      <c r="BO249" s="27"/>
      <c r="BP249" s="27"/>
      <c r="BQ249" s="27"/>
      <c r="BR249" s="27"/>
      <c r="BS249" s="27"/>
      <c r="BT249" s="27"/>
      <c r="BU249" s="27"/>
      <c r="BV249" s="27"/>
      <c r="BW249" s="27"/>
      <c r="BX249" s="27"/>
      <c r="BY249" s="27"/>
      <c r="BZ249" s="27"/>
      <c r="CA249" s="27"/>
      <c r="CB249" s="27"/>
      <c r="CC249" s="27"/>
      <c r="CD249" s="27"/>
      <c r="CE249" s="27"/>
      <c r="CF249" s="27"/>
      <c r="CG249" s="27"/>
      <c r="CH249" s="27"/>
      <c r="CI249" s="27"/>
      <c r="CJ249" s="27"/>
    </row>
    <row r="250" spans="4:88" x14ac:dyDescent="0.25"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  <c r="AW250" s="27"/>
      <c r="AX250" s="27"/>
      <c r="AY250" s="27"/>
      <c r="AZ250" s="27"/>
      <c r="BA250" s="27"/>
      <c r="BB250" s="27"/>
      <c r="BC250" s="27"/>
      <c r="BD250" s="27"/>
      <c r="BE250" s="27"/>
      <c r="BF250" s="27"/>
      <c r="BG250" s="27"/>
      <c r="BH250" s="27"/>
      <c r="BI250" s="27"/>
      <c r="BJ250" s="27"/>
      <c r="BK250" s="27"/>
      <c r="BL250" s="27"/>
      <c r="BM250" s="27"/>
      <c r="BN250" s="27"/>
      <c r="BO250" s="27"/>
      <c r="BP250" s="27"/>
      <c r="BQ250" s="27"/>
      <c r="BR250" s="27"/>
      <c r="BS250" s="27"/>
      <c r="BT250" s="27"/>
      <c r="BU250" s="27"/>
      <c r="BV250" s="27"/>
      <c r="BW250" s="27"/>
      <c r="BX250" s="27"/>
      <c r="BY250" s="27"/>
      <c r="BZ250" s="27"/>
      <c r="CA250" s="27"/>
      <c r="CB250" s="27"/>
      <c r="CC250" s="27"/>
      <c r="CD250" s="27"/>
      <c r="CE250" s="27"/>
      <c r="CF250" s="27"/>
      <c r="CG250" s="27"/>
      <c r="CH250" s="27"/>
      <c r="CI250" s="27"/>
      <c r="CJ250" s="27"/>
    </row>
    <row r="251" spans="4:88" x14ac:dyDescent="0.25"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/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/>
      <c r="BP251" s="27"/>
      <c r="BQ251" s="27"/>
      <c r="BR251" s="27"/>
      <c r="BS251" s="27"/>
      <c r="BT251" s="27"/>
      <c r="BU251" s="27"/>
      <c r="BV251" s="27"/>
      <c r="BW251" s="27"/>
      <c r="BX251" s="27"/>
      <c r="BY251" s="27"/>
      <c r="BZ251" s="27"/>
      <c r="CA251" s="27"/>
      <c r="CB251" s="27"/>
      <c r="CC251" s="27"/>
      <c r="CD251" s="27"/>
      <c r="CE251" s="27"/>
      <c r="CF251" s="27"/>
      <c r="CG251" s="27"/>
      <c r="CH251" s="27"/>
      <c r="CI251" s="27"/>
      <c r="CJ251" s="27"/>
    </row>
    <row r="252" spans="4:88" x14ac:dyDescent="0.25"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  <c r="AW252" s="27"/>
      <c r="AX252" s="27"/>
      <c r="AY252" s="27"/>
      <c r="AZ252" s="27"/>
      <c r="BA252" s="27"/>
      <c r="BB252" s="27"/>
      <c r="BC252" s="27"/>
      <c r="BD252" s="27"/>
      <c r="BE252" s="27"/>
      <c r="BF252" s="27"/>
      <c r="BG252" s="27"/>
      <c r="BH252" s="27"/>
      <c r="BI252" s="27"/>
      <c r="BJ252" s="27"/>
      <c r="BK252" s="27"/>
      <c r="BL252" s="27"/>
      <c r="BM252" s="27"/>
      <c r="BN252" s="27"/>
      <c r="BO252" s="27"/>
      <c r="BP252" s="27"/>
      <c r="BQ252" s="27"/>
      <c r="BR252" s="27"/>
      <c r="BS252" s="27"/>
      <c r="BT252" s="27"/>
      <c r="BU252" s="27"/>
      <c r="BV252" s="27"/>
      <c r="BW252" s="27"/>
      <c r="BX252" s="27"/>
      <c r="BY252" s="27"/>
      <c r="BZ252" s="27"/>
      <c r="CA252" s="27"/>
      <c r="CB252" s="27"/>
      <c r="CC252" s="27"/>
      <c r="CD252" s="27"/>
      <c r="CE252" s="27"/>
      <c r="CF252" s="27"/>
      <c r="CG252" s="27"/>
      <c r="CH252" s="27"/>
      <c r="CI252" s="27"/>
      <c r="CJ252" s="27"/>
    </row>
    <row r="253" spans="4:88" x14ac:dyDescent="0.25"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7"/>
      <c r="AX253" s="27"/>
      <c r="AY253" s="27"/>
      <c r="AZ253" s="27"/>
      <c r="BA253" s="27"/>
      <c r="BB253" s="27"/>
      <c r="BC253" s="27"/>
      <c r="BD253" s="27"/>
      <c r="BE253" s="27"/>
      <c r="BF253" s="27"/>
      <c r="BG253" s="27"/>
      <c r="BH253" s="27"/>
      <c r="BI253" s="27"/>
      <c r="BJ253" s="27"/>
      <c r="BK253" s="27"/>
      <c r="BL253" s="27"/>
      <c r="BM253" s="27"/>
      <c r="BN253" s="27"/>
      <c r="BO253" s="27"/>
      <c r="BP253" s="27"/>
      <c r="BQ253" s="27"/>
      <c r="BR253" s="27"/>
      <c r="BS253" s="27"/>
      <c r="BT253" s="27"/>
      <c r="BU253" s="27"/>
      <c r="BV253" s="27"/>
      <c r="BW253" s="27"/>
      <c r="BX253" s="27"/>
      <c r="BY253" s="27"/>
      <c r="BZ253" s="27"/>
      <c r="CA253" s="27"/>
      <c r="CB253" s="27"/>
      <c r="CC253" s="27"/>
      <c r="CD253" s="27"/>
      <c r="CE253" s="27"/>
      <c r="CF253" s="27"/>
      <c r="CG253" s="27"/>
      <c r="CH253" s="27"/>
      <c r="CI253" s="27"/>
      <c r="CJ253" s="27"/>
    </row>
    <row r="254" spans="4:88" x14ac:dyDescent="0.25"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/>
      <c r="BP254" s="27"/>
      <c r="BQ254" s="27"/>
      <c r="BR254" s="27"/>
      <c r="BS254" s="27"/>
      <c r="BT254" s="27"/>
      <c r="BU254" s="27"/>
      <c r="BV254" s="27"/>
      <c r="BW254" s="27"/>
      <c r="BX254" s="27"/>
      <c r="BY254" s="27"/>
      <c r="BZ254" s="27"/>
      <c r="CA254" s="27"/>
      <c r="CB254" s="27"/>
      <c r="CC254" s="27"/>
      <c r="CD254" s="27"/>
      <c r="CE254" s="27"/>
      <c r="CF254" s="27"/>
      <c r="CG254" s="27"/>
      <c r="CH254" s="27"/>
      <c r="CI254" s="27"/>
      <c r="CJ254" s="27"/>
    </row>
    <row r="255" spans="4:88" x14ac:dyDescent="0.25"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  <c r="AX255" s="27"/>
      <c r="AY255" s="27"/>
      <c r="AZ255" s="27"/>
      <c r="BA255" s="27"/>
      <c r="BB255" s="27"/>
      <c r="BC255" s="27"/>
      <c r="BD255" s="27"/>
      <c r="BE255" s="27"/>
      <c r="BF255" s="27"/>
      <c r="BG255" s="27"/>
      <c r="BH255" s="27"/>
      <c r="BI255" s="27"/>
      <c r="BJ255" s="27"/>
      <c r="BK255" s="27"/>
      <c r="BL255" s="27"/>
      <c r="BM255" s="27"/>
      <c r="BN255" s="27"/>
      <c r="BO255" s="27"/>
      <c r="BP255" s="27"/>
      <c r="BQ255" s="27"/>
      <c r="BR255" s="27"/>
      <c r="BS255" s="27"/>
      <c r="BT255" s="27"/>
      <c r="BU255" s="27"/>
      <c r="BV255" s="27"/>
      <c r="BW255" s="27"/>
      <c r="BX255" s="27"/>
      <c r="BY255" s="27"/>
      <c r="BZ255" s="27"/>
      <c r="CA255" s="27"/>
      <c r="CB255" s="27"/>
      <c r="CC255" s="27"/>
      <c r="CD255" s="27"/>
      <c r="CE255" s="27"/>
      <c r="CF255" s="27"/>
      <c r="CG255" s="27"/>
      <c r="CH255" s="27"/>
      <c r="CI255" s="27"/>
      <c r="CJ255" s="27"/>
    </row>
    <row r="256" spans="4:88" x14ac:dyDescent="0.25"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27"/>
      <c r="BD256" s="27"/>
      <c r="BE256" s="27"/>
      <c r="BF256" s="27"/>
      <c r="BG256" s="27"/>
      <c r="BH256" s="27"/>
      <c r="BI256" s="27"/>
      <c r="BJ256" s="27"/>
      <c r="BK256" s="27"/>
      <c r="BL256" s="27"/>
      <c r="BM256" s="27"/>
      <c r="BN256" s="27"/>
      <c r="BO256" s="27"/>
      <c r="BP256" s="27"/>
      <c r="BQ256" s="27"/>
      <c r="BR256" s="27"/>
      <c r="BS256" s="27"/>
      <c r="BT256" s="27"/>
      <c r="BU256" s="27"/>
      <c r="BV256" s="27"/>
      <c r="BW256" s="27"/>
      <c r="BX256" s="27"/>
      <c r="BY256" s="27"/>
      <c r="BZ256" s="27"/>
      <c r="CA256" s="27"/>
      <c r="CB256" s="27"/>
      <c r="CC256" s="27"/>
      <c r="CD256" s="27"/>
      <c r="CE256" s="27"/>
      <c r="CF256" s="27"/>
      <c r="CG256" s="27"/>
      <c r="CH256" s="27"/>
      <c r="CI256" s="27"/>
      <c r="CJ256" s="27"/>
    </row>
    <row r="257" spans="4:88" x14ac:dyDescent="0.25"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  <c r="AW257" s="27"/>
      <c r="AX257" s="27"/>
      <c r="AY257" s="27"/>
      <c r="AZ257" s="27"/>
      <c r="BA257" s="27"/>
      <c r="BB257" s="27"/>
      <c r="BC257" s="27"/>
      <c r="BD257" s="27"/>
      <c r="BE257" s="27"/>
      <c r="BF257" s="27"/>
      <c r="BG257" s="27"/>
      <c r="BH257" s="27"/>
      <c r="BI257" s="27"/>
      <c r="BJ257" s="27"/>
      <c r="BK257" s="27"/>
      <c r="BL257" s="27"/>
      <c r="BM257" s="27"/>
      <c r="BN257" s="27"/>
      <c r="BO257" s="27"/>
      <c r="BP257" s="27"/>
      <c r="BQ257" s="27"/>
      <c r="BR257" s="27"/>
      <c r="BS257" s="27"/>
      <c r="BT257" s="27"/>
      <c r="BU257" s="27"/>
      <c r="BV257" s="27"/>
      <c r="BW257" s="27"/>
      <c r="BX257" s="27"/>
      <c r="BY257" s="27"/>
      <c r="BZ257" s="27"/>
      <c r="CA257" s="27"/>
      <c r="CB257" s="27"/>
      <c r="CC257" s="27"/>
      <c r="CD257" s="27"/>
      <c r="CE257" s="27"/>
      <c r="CF257" s="27"/>
      <c r="CG257" s="27"/>
      <c r="CH257" s="27"/>
      <c r="CI257" s="27"/>
      <c r="CJ257" s="27"/>
    </row>
    <row r="258" spans="4:88" x14ac:dyDescent="0.25"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27"/>
      <c r="BD258" s="27"/>
      <c r="BE258" s="27"/>
      <c r="BF258" s="27"/>
      <c r="BG258" s="27"/>
      <c r="BH258" s="27"/>
      <c r="BI258" s="27"/>
      <c r="BJ258" s="27"/>
      <c r="BK258" s="27"/>
      <c r="BL258" s="27"/>
      <c r="BM258" s="27"/>
      <c r="BN258" s="27"/>
      <c r="BO258" s="27"/>
      <c r="BP258" s="27"/>
      <c r="BQ258" s="27"/>
      <c r="BR258" s="27"/>
      <c r="BS258" s="27"/>
      <c r="BT258" s="27"/>
      <c r="BU258" s="27"/>
      <c r="BV258" s="27"/>
      <c r="BW258" s="27"/>
      <c r="BX258" s="27"/>
      <c r="BY258" s="27"/>
      <c r="BZ258" s="27"/>
      <c r="CA258" s="27"/>
      <c r="CB258" s="27"/>
      <c r="CC258" s="27"/>
      <c r="CD258" s="27"/>
      <c r="CE258" s="27"/>
      <c r="CF258" s="27"/>
      <c r="CG258" s="27"/>
      <c r="CH258" s="27"/>
      <c r="CI258" s="27"/>
      <c r="CJ258" s="27"/>
    </row>
    <row r="259" spans="4:88" x14ac:dyDescent="0.25"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7"/>
      <c r="AX259" s="27"/>
      <c r="AY259" s="27"/>
      <c r="AZ259" s="27"/>
      <c r="BA259" s="27"/>
      <c r="BB259" s="27"/>
      <c r="BC259" s="27"/>
      <c r="BD259" s="27"/>
      <c r="BE259" s="27"/>
      <c r="BF259" s="27"/>
      <c r="BG259" s="27"/>
      <c r="BH259" s="27"/>
      <c r="BI259" s="27"/>
      <c r="BJ259" s="27"/>
      <c r="BK259" s="27"/>
      <c r="BL259" s="27"/>
      <c r="BM259" s="27"/>
      <c r="BN259" s="27"/>
      <c r="BO259" s="27"/>
      <c r="BP259" s="27"/>
      <c r="BQ259" s="27"/>
      <c r="BR259" s="27"/>
      <c r="BS259" s="27"/>
      <c r="BT259" s="27"/>
      <c r="BU259" s="27"/>
      <c r="BV259" s="27"/>
      <c r="BW259" s="27"/>
      <c r="BX259" s="27"/>
      <c r="BY259" s="27"/>
      <c r="BZ259" s="27"/>
      <c r="CA259" s="27"/>
      <c r="CB259" s="27"/>
      <c r="CC259" s="27"/>
      <c r="CD259" s="27"/>
      <c r="CE259" s="27"/>
      <c r="CF259" s="27"/>
      <c r="CG259" s="27"/>
      <c r="CH259" s="27"/>
      <c r="CI259" s="27"/>
      <c r="CJ259" s="27"/>
    </row>
    <row r="260" spans="4:88" x14ac:dyDescent="0.25"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27"/>
      <c r="BD260" s="27"/>
      <c r="BE260" s="27"/>
      <c r="BF260" s="27"/>
      <c r="BG260" s="27"/>
      <c r="BH260" s="27"/>
      <c r="BI260" s="27"/>
      <c r="BJ260" s="27"/>
      <c r="BK260" s="27"/>
      <c r="BL260" s="27"/>
      <c r="BM260" s="27"/>
      <c r="BN260" s="27"/>
      <c r="BO260" s="27"/>
      <c r="BP260" s="27"/>
      <c r="BQ260" s="27"/>
      <c r="BR260" s="27"/>
      <c r="BS260" s="27"/>
      <c r="BT260" s="27"/>
      <c r="BU260" s="27"/>
      <c r="BV260" s="27"/>
      <c r="BW260" s="27"/>
      <c r="BX260" s="27"/>
      <c r="BY260" s="27"/>
      <c r="BZ260" s="27"/>
      <c r="CA260" s="27"/>
      <c r="CB260" s="27"/>
      <c r="CC260" s="27"/>
      <c r="CD260" s="27"/>
      <c r="CE260" s="27"/>
      <c r="CF260" s="27"/>
      <c r="CG260" s="27"/>
      <c r="CH260" s="27"/>
      <c r="CI260" s="27"/>
      <c r="CJ260" s="27"/>
    </row>
    <row r="261" spans="4:88" x14ac:dyDescent="0.25"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  <c r="AW261" s="27"/>
      <c r="AX261" s="27"/>
      <c r="AY261" s="27"/>
      <c r="AZ261" s="27"/>
      <c r="BA261" s="27"/>
      <c r="BB261" s="27"/>
      <c r="BC261" s="27"/>
      <c r="BD261" s="27"/>
      <c r="BE261" s="27"/>
      <c r="BF261" s="27"/>
      <c r="BG261" s="27"/>
      <c r="BH261" s="27"/>
      <c r="BI261" s="27"/>
      <c r="BJ261" s="27"/>
      <c r="BK261" s="27"/>
      <c r="BL261" s="27"/>
      <c r="BM261" s="27"/>
      <c r="BN261" s="27"/>
      <c r="BO261" s="27"/>
      <c r="BP261" s="27"/>
      <c r="BQ261" s="27"/>
      <c r="BR261" s="27"/>
      <c r="BS261" s="27"/>
      <c r="BT261" s="27"/>
      <c r="BU261" s="27"/>
      <c r="BV261" s="27"/>
      <c r="BW261" s="27"/>
      <c r="BX261" s="27"/>
      <c r="BY261" s="27"/>
      <c r="BZ261" s="27"/>
      <c r="CA261" s="27"/>
      <c r="CB261" s="27"/>
      <c r="CC261" s="27"/>
      <c r="CD261" s="27"/>
      <c r="CE261" s="27"/>
      <c r="CF261" s="27"/>
      <c r="CG261" s="27"/>
      <c r="CH261" s="27"/>
      <c r="CI261" s="27"/>
      <c r="CJ261" s="27"/>
    </row>
    <row r="262" spans="4:88" x14ac:dyDescent="0.25"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27"/>
      <c r="AX262" s="27"/>
      <c r="AY262" s="27"/>
      <c r="AZ262" s="27"/>
      <c r="BA262" s="27"/>
      <c r="BB262" s="27"/>
      <c r="BC262" s="27"/>
      <c r="BD262" s="27"/>
      <c r="BE262" s="27"/>
      <c r="BF262" s="27"/>
      <c r="BG262" s="27"/>
      <c r="BH262" s="27"/>
      <c r="BI262" s="27"/>
      <c r="BJ262" s="27"/>
      <c r="BK262" s="27"/>
      <c r="BL262" s="27"/>
      <c r="BM262" s="27"/>
      <c r="BN262" s="27"/>
      <c r="BO262" s="27"/>
      <c r="BP262" s="27"/>
      <c r="BQ262" s="27"/>
      <c r="BR262" s="27"/>
      <c r="BS262" s="27"/>
      <c r="BT262" s="27"/>
      <c r="BU262" s="27"/>
      <c r="BV262" s="27"/>
      <c r="BW262" s="27"/>
      <c r="BX262" s="27"/>
      <c r="BY262" s="27"/>
      <c r="BZ262" s="27"/>
      <c r="CA262" s="27"/>
      <c r="CB262" s="27"/>
      <c r="CC262" s="27"/>
      <c r="CD262" s="27"/>
      <c r="CE262" s="27"/>
      <c r="CF262" s="27"/>
      <c r="CG262" s="27"/>
      <c r="CH262" s="27"/>
      <c r="CI262" s="27"/>
      <c r="CJ262" s="27"/>
    </row>
    <row r="263" spans="4:88" x14ac:dyDescent="0.25"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/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27"/>
      <c r="BP263" s="27"/>
      <c r="BQ263" s="27"/>
      <c r="BR263" s="27"/>
      <c r="BS263" s="27"/>
      <c r="BT263" s="27"/>
      <c r="BU263" s="27"/>
      <c r="BV263" s="27"/>
      <c r="BW263" s="27"/>
      <c r="BX263" s="27"/>
      <c r="BY263" s="27"/>
      <c r="BZ263" s="27"/>
      <c r="CA263" s="27"/>
      <c r="CB263" s="27"/>
      <c r="CC263" s="27"/>
      <c r="CD263" s="27"/>
      <c r="CE263" s="27"/>
      <c r="CF263" s="27"/>
      <c r="CG263" s="27"/>
      <c r="CH263" s="27"/>
      <c r="CI263" s="27"/>
      <c r="CJ263" s="27"/>
    </row>
    <row r="264" spans="4:88" x14ac:dyDescent="0.25"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27"/>
      <c r="BD264" s="27"/>
      <c r="BE264" s="27"/>
      <c r="BF264" s="27"/>
      <c r="BG264" s="27"/>
      <c r="BH264" s="27"/>
      <c r="BI264" s="27"/>
      <c r="BJ264" s="27"/>
      <c r="BK264" s="27"/>
      <c r="BL264" s="27"/>
      <c r="BM264" s="27"/>
      <c r="BN264" s="27"/>
      <c r="BO264" s="27"/>
      <c r="BP264" s="27"/>
      <c r="BQ264" s="27"/>
      <c r="BR264" s="27"/>
      <c r="BS264" s="27"/>
      <c r="BT264" s="27"/>
      <c r="BU264" s="27"/>
      <c r="BV264" s="27"/>
      <c r="BW264" s="27"/>
      <c r="BX264" s="27"/>
      <c r="BY264" s="27"/>
      <c r="BZ264" s="27"/>
      <c r="CA264" s="27"/>
      <c r="CB264" s="27"/>
      <c r="CC264" s="27"/>
      <c r="CD264" s="27"/>
      <c r="CE264" s="27"/>
      <c r="CF264" s="27"/>
      <c r="CG264" s="27"/>
      <c r="CH264" s="27"/>
      <c r="CI264" s="27"/>
      <c r="CJ264" s="27"/>
    </row>
    <row r="265" spans="4:88" x14ac:dyDescent="0.25"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27"/>
      <c r="AX265" s="27"/>
      <c r="AY265" s="27"/>
      <c r="AZ265" s="27"/>
      <c r="BA265" s="27"/>
      <c r="BB265" s="27"/>
      <c r="BC265" s="27"/>
      <c r="BD265" s="27"/>
      <c r="BE265" s="27"/>
      <c r="BF265" s="27"/>
      <c r="BG265" s="27"/>
      <c r="BH265" s="27"/>
      <c r="BI265" s="27"/>
      <c r="BJ265" s="27"/>
      <c r="BK265" s="27"/>
      <c r="BL265" s="27"/>
      <c r="BM265" s="27"/>
      <c r="BN265" s="27"/>
      <c r="BO265" s="27"/>
      <c r="BP265" s="27"/>
      <c r="BQ265" s="27"/>
      <c r="BR265" s="27"/>
      <c r="BS265" s="27"/>
      <c r="BT265" s="27"/>
      <c r="BU265" s="27"/>
      <c r="BV265" s="27"/>
      <c r="BW265" s="27"/>
      <c r="BX265" s="27"/>
      <c r="BY265" s="27"/>
      <c r="BZ265" s="27"/>
      <c r="CA265" s="27"/>
      <c r="CB265" s="27"/>
      <c r="CC265" s="27"/>
      <c r="CD265" s="27"/>
      <c r="CE265" s="27"/>
      <c r="CF265" s="27"/>
      <c r="CG265" s="27"/>
      <c r="CH265" s="27"/>
      <c r="CI265" s="27"/>
      <c r="CJ265" s="27"/>
    </row>
    <row r="266" spans="4:88" x14ac:dyDescent="0.25"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27"/>
      <c r="BD266" s="27"/>
      <c r="BE266" s="27"/>
      <c r="BF266" s="27"/>
      <c r="BG266" s="27"/>
      <c r="BH266" s="27"/>
      <c r="BI266" s="27"/>
      <c r="BJ266" s="27"/>
      <c r="BK266" s="27"/>
      <c r="BL266" s="27"/>
      <c r="BM266" s="27"/>
      <c r="BN266" s="27"/>
      <c r="BO266" s="27"/>
      <c r="BP266" s="27"/>
      <c r="BQ266" s="27"/>
      <c r="BR266" s="27"/>
      <c r="BS266" s="27"/>
      <c r="BT266" s="27"/>
      <c r="BU266" s="27"/>
      <c r="BV266" s="27"/>
      <c r="BW266" s="27"/>
      <c r="BX266" s="27"/>
      <c r="BY266" s="27"/>
      <c r="BZ266" s="27"/>
      <c r="CA266" s="27"/>
      <c r="CB266" s="27"/>
      <c r="CC266" s="27"/>
      <c r="CD266" s="27"/>
      <c r="CE266" s="27"/>
      <c r="CF266" s="27"/>
      <c r="CG266" s="27"/>
      <c r="CH266" s="27"/>
      <c r="CI266" s="27"/>
      <c r="CJ266" s="27"/>
    </row>
    <row r="267" spans="4:88" x14ac:dyDescent="0.25"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27"/>
      <c r="AX267" s="27"/>
      <c r="AY267" s="27"/>
      <c r="AZ267" s="27"/>
      <c r="BA267" s="27"/>
      <c r="BB267" s="27"/>
      <c r="BC267" s="27"/>
      <c r="BD267" s="27"/>
      <c r="BE267" s="27"/>
      <c r="BF267" s="27"/>
      <c r="BG267" s="27"/>
      <c r="BH267" s="27"/>
      <c r="BI267" s="27"/>
      <c r="BJ267" s="27"/>
      <c r="BK267" s="27"/>
      <c r="BL267" s="27"/>
      <c r="BM267" s="27"/>
      <c r="BN267" s="27"/>
      <c r="BO267" s="27"/>
      <c r="BP267" s="27"/>
      <c r="BQ267" s="27"/>
      <c r="BR267" s="27"/>
      <c r="BS267" s="27"/>
      <c r="BT267" s="27"/>
      <c r="BU267" s="27"/>
      <c r="BV267" s="27"/>
      <c r="BW267" s="27"/>
      <c r="BX267" s="27"/>
      <c r="BY267" s="27"/>
      <c r="BZ267" s="27"/>
      <c r="CA267" s="27"/>
      <c r="CB267" s="27"/>
      <c r="CC267" s="27"/>
      <c r="CD267" s="27"/>
      <c r="CE267" s="27"/>
      <c r="CF267" s="27"/>
      <c r="CG267" s="27"/>
      <c r="CH267" s="27"/>
      <c r="CI267" s="27"/>
      <c r="CJ267" s="27"/>
    </row>
    <row r="268" spans="4:88" x14ac:dyDescent="0.25"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27"/>
      <c r="BB268" s="27"/>
      <c r="BC268" s="27"/>
      <c r="BD268" s="27"/>
      <c r="BE268" s="27"/>
      <c r="BF268" s="27"/>
      <c r="BG268" s="27"/>
      <c r="BH268" s="27"/>
      <c r="BI268" s="27"/>
      <c r="BJ268" s="27"/>
      <c r="BK268" s="27"/>
      <c r="BL268" s="27"/>
      <c r="BM268" s="27"/>
      <c r="BN268" s="27"/>
      <c r="BO268" s="27"/>
      <c r="BP268" s="27"/>
      <c r="BQ268" s="27"/>
      <c r="BR268" s="27"/>
      <c r="BS268" s="27"/>
      <c r="BT268" s="27"/>
      <c r="BU268" s="27"/>
      <c r="BV268" s="27"/>
      <c r="BW268" s="27"/>
      <c r="BX268" s="27"/>
      <c r="BY268" s="27"/>
      <c r="BZ268" s="27"/>
      <c r="CA268" s="27"/>
      <c r="CB268" s="27"/>
      <c r="CC268" s="27"/>
      <c r="CD268" s="27"/>
      <c r="CE268" s="27"/>
      <c r="CF268" s="27"/>
      <c r="CG268" s="27"/>
      <c r="CH268" s="27"/>
      <c r="CI268" s="27"/>
      <c r="CJ268" s="27"/>
    </row>
    <row r="269" spans="4:88" x14ac:dyDescent="0.25"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27"/>
      <c r="BB269" s="27"/>
      <c r="BC269" s="27"/>
      <c r="BD269" s="27"/>
      <c r="BE269" s="27"/>
      <c r="BF269" s="27"/>
      <c r="BG269" s="27"/>
      <c r="BH269" s="27"/>
      <c r="BI269" s="27"/>
      <c r="BJ269" s="27"/>
      <c r="BK269" s="27"/>
      <c r="BL269" s="27"/>
      <c r="BM269" s="27"/>
      <c r="BN269" s="27"/>
      <c r="BO269" s="27"/>
      <c r="BP269" s="27"/>
      <c r="BQ269" s="27"/>
      <c r="BR269" s="27"/>
      <c r="BS269" s="27"/>
      <c r="BT269" s="27"/>
      <c r="BU269" s="27"/>
      <c r="BV269" s="27"/>
      <c r="BW269" s="27"/>
      <c r="BX269" s="27"/>
      <c r="BY269" s="27"/>
      <c r="BZ269" s="27"/>
      <c r="CA269" s="27"/>
      <c r="CB269" s="27"/>
      <c r="CC269" s="27"/>
      <c r="CD269" s="27"/>
      <c r="CE269" s="27"/>
      <c r="CF269" s="27"/>
      <c r="CG269" s="27"/>
      <c r="CH269" s="27"/>
      <c r="CI269" s="27"/>
      <c r="CJ269" s="27"/>
    </row>
    <row r="270" spans="4:88" x14ac:dyDescent="0.25"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27"/>
      <c r="BB270" s="27"/>
      <c r="BC270" s="27"/>
      <c r="BD270" s="27"/>
      <c r="BE270" s="27"/>
      <c r="BF270" s="27"/>
      <c r="BG270" s="27"/>
      <c r="BH270" s="27"/>
      <c r="BI270" s="27"/>
      <c r="BJ270" s="27"/>
      <c r="BK270" s="27"/>
      <c r="BL270" s="27"/>
      <c r="BM270" s="27"/>
      <c r="BN270" s="27"/>
      <c r="BO270" s="27"/>
      <c r="BP270" s="27"/>
      <c r="BQ270" s="27"/>
      <c r="BR270" s="27"/>
      <c r="BS270" s="27"/>
      <c r="BT270" s="27"/>
      <c r="BU270" s="27"/>
      <c r="BV270" s="27"/>
      <c r="BW270" s="27"/>
      <c r="BX270" s="27"/>
      <c r="BY270" s="27"/>
      <c r="BZ270" s="27"/>
      <c r="CA270" s="27"/>
      <c r="CB270" s="27"/>
      <c r="CC270" s="27"/>
      <c r="CD270" s="27"/>
      <c r="CE270" s="27"/>
      <c r="CF270" s="27"/>
      <c r="CG270" s="27"/>
      <c r="CH270" s="27"/>
      <c r="CI270" s="27"/>
      <c r="CJ270" s="27"/>
    </row>
    <row r="271" spans="4:88" x14ac:dyDescent="0.25"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/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  <c r="BM271" s="27"/>
      <c r="BN271" s="27"/>
      <c r="BO271" s="27"/>
      <c r="BP271" s="27"/>
      <c r="BQ271" s="27"/>
      <c r="BR271" s="27"/>
      <c r="BS271" s="27"/>
      <c r="BT271" s="27"/>
      <c r="BU271" s="27"/>
      <c r="BV271" s="27"/>
      <c r="BW271" s="27"/>
      <c r="BX271" s="27"/>
      <c r="BY271" s="27"/>
      <c r="BZ271" s="27"/>
      <c r="CA271" s="27"/>
      <c r="CB271" s="27"/>
      <c r="CC271" s="27"/>
      <c r="CD271" s="27"/>
      <c r="CE271" s="27"/>
      <c r="CF271" s="27"/>
      <c r="CG271" s="27"/>
      <c r="CH271" s="27"/>
      <c r="CI271" s="27"/>
      <c r="CJ271" s="27"/>
    </row>
    <row r="272" spans="4:88" x14ac:dyDescent="0.25"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  <c r="AW272" s="27"/>
      <c r="AX272" s="27"/>
      <c r="AY272" s="27"/>
      <c r="AZ272" s="27"/>
      <c r="BA272" s="27"/>
      <c r="BB272" s="27"/>
      <c r="BC272" s="27"/>
      <c r="BD272" s="27"/>
      <c r="BE272" s="27"/>
      <c r="BF272" s="27"/>
      <c r="BG272" s="27"/>
      <c r="BH272" s="27"/>
      <c r="BI272" s="27"/>
      <c r="BJ272" s="27"/>
      <c r="BK272" s="27"/>
      <c r="BL272" s="27"/>
      <c r="BM272" s="27"/>
      <c r="BN272" s="27"/>
      <c r="BO272" s="27"/>
      <c r="BP272" s="27"/>
      <c r="BQ272" s="27"/>
      <c r="BR272" s="27"/>
      <c r="BS272" s="27"/>
      <c r="BT272" s="27"/>
      <c r="BU272" s="27"/>
      <c r="BV272" s="27"/>
      <c r="BW272" s="27"/>
      <c r="BX272" s="27"/>
      <c r="BY272" s="27"/>
      <c r="BZ272" s="27"/>
      <c r="CA272" s="27"/>
      <c r="CB272" s="27"/>
      <c r="CC272" s="27"/>
      <c r="CD272" s="27"/>
      <c r="CE272" s="27"/>
      <c r="CF272" s="27"/>
      <c r="CG272" s="27"/>
      <c r="CH272" s="27"/>
      <c r="CI272" s="27"/>
      <c r="CJ272" s="27"/>
    </row>
    <row r="273" spans="4:88" x14ac:dyDescent="0.25"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27"/>
      <c r="BF273" s="27"/>
      <c r="BG273" s="27"/>
      <c r="BH273" s="27"/>
      <c r="BI273" s="27"/>
      <c r="BJ273" s="27"/>
      <c r="BK273" s="27"/>
      <c r="BL273" s="27"/>
      <c r="BM273" s="27"/>
      <c r="BN273" s="27"/>
      <c r="BO273" s="27"/>
      <c r="BP273" s="27"/>
      <c r="BQ273" s="27"/>
      <c r="BR273" s="27"/>
      <c r="BS273" s="27"/>
      <c r="BT273" s="27"/>
      <c r="BU273" s="27"/>
      <c r="BV273" s="27"/>
      <c r="BW273" s="27"/>
      <c r="BX273" s="27"/>
      <c r="BY273" s="27"/>
      <c r="BZ273" s="27"/>
      <c r="CA273" s="27"/>
      <c r="CB273" s="27"/>
      <c r="CC273" s="27"/>
      <c r="CD273" s="27"/>
      <c r="CE273" s="27"/>
      <c r="CF273" s="27"/>
      <c r="CG273" s="27"/>
      <c r="CH273" s="27"/>
      <c r="CI273" s="27"/>
      <c r="CJ273" s="27"/>
    </row>
    <row r="274" spans="4:88" x14ac:dyDescent="0.25"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27"/>
      <c r="AX274" s="27"/>
      <c r="AY274" s="27"/>
      <c r="AZ274" s="27"/>
      <c r="BA274" s="27"/>
      <c r="BB274" s="27"/>
      <c r="BC274" s="27"/>
      <c r="BD274" s="27"/>
      <c r="BE274" s="27"/>
      <c r="BF274" s="27"/>
      <c r="BG274" s="27"/>
      <c r="BH274" s="27"/>
      <c r="BI274" s="27"/>
      <c r="BJ274" s="27"/>
      <c r="BK274" s="27"/>
      <c r="BL274" s="27"/>
      <c r="BM274" s="27"/>
      <c r="BN274" s="27"/>
      <c r="BO274" s="27"/>
      <c r="BP274" s="27"/>
      <c r="BQ274" s="27"/>
      <c r="BR274" s="27"/>
      <c r="BS274" s="27"/>
      <c r="BT274" s="27"/>
      <c r="BU274" s="27"/>
      <c r="BV274" s="27"/>
      <c r="BW274" s="27"/>
      <c r="BX274" s="27"/>
      <c r="BY274" s="27"/>
      <c r="BZ274" s="27"/>
      <c r="CA274" s="27"/>
      <c r="CB274" s="27"/>
      <c r="CC274" s="27"/>
      <c r="CD274" s="27"/>
      <c r="CE274" s="27"/>
      <c r="CF274" s="27"/>
      <c r="CG274" s="27"/>
      <c r="CH274" s="27"/>
      <c r="CI274" s="27"/>
      <c r="CJ274" s="27"/>
    </row>
    <row r="275" spans="4:88" x14ac:dyDescent="0.25"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7"/>
      <c r="AX275" s="27"/>
      <c r="AY275" s="27"/>
      <c r="AZ275" s="27"/>
      <c r="BA275" s="27"/>
      <c r="BB275" s="27"/>
      <c r="BC275" s="27"/>
      <c r="BD275" s="27"/>
      <c r="BE275" s="27"/>
      <c r="BF275" s="27"/>
      <c r="BG275" s="27"/>
      <c r="BH275" s="27"/>
      <c r="BI275" s="27"/>
      <c r="BJ275" s="27"/>
      <c r="BK275" s="27"/>
      <c r="BL275" s="27"/>
      <c r="BM275" s="27"/>
      <c r="BN275" s="27"/>
      <c r="BO275" s="27"/>
      <c r="BP275" s="27"/>
      <c r="BQ275" s="27"/>
      <c r="BR275" s="27"/>
      <c r="BS275" s="27"/>
      <c r="BT275" s="27"/>
      <c r="BU275" s="27"/>
      <c r="BV275" s="27"/>
      <c r="BW275" s="27"/>
      <c r="BX275" s="27"/>
      <c r="BY275" s="27"/>
      <c r="BZ275" s="27"/>
      <c r="CA275" s="27"/>
      <c r="CB275" s="27"/>
      <c r="CC275" s="27"/>
      <c r="CD275" s="27"/>
      <c r="CE275" s="27"/>
      <c r="CF275" s="27"/>
      <c r="CG275" s="27"/>
      <c r="CH275" s="27"/>
      <c r="CI275" s="27"/>
      <c r="CJ275" s="27"/>
    </row>
    <row r="276" spans="4:88" x14ac:dyDescent="0.25"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  <c r="AW276" s="27"/>
      <c r="AX276" s="27"/>
      <c r="AY276" s="27"/>
      <c r="AZ276" s="27"/>
      <c r="BA276" s="27"/>
      <c r="BB276" s="27"/>
      <c r="BC276" s="27"/>
      <c r="BD276" s="27"/>
      <c r="BE276" s="27"/>
      <c r="BF276" s="27"/>
      <c r="BG276" s="27"/>
      <c r="BH276" s="27"/>
      <c r="BI276" s="27"/>
      <c r="BJ276" s="27"/>
      <c r="BK276" s="27"/>
      <c r="BL276" s="27"/>
      <c r="BM276" s="27"/>
      <c r="BN276" s="27"/>
      <c r="BO276" s="27"/>
      <c r="BP276" s="27"/>
      <c r="BQ276" s="27"/>
      <c r="BR276" s="27"/>
      <c r="BS276" s="27"/>
      <c r="BT276" s="27"/>
      <c r="BU276" s="27"/>
      <c r="BV276" s="27"/>
      <c r="BW276" s="27"/>
      <c r="BX276" s="27"/>
      <c r="BY276" s="27"/>
      <c r="BZ276" s="27"/>
      <c r="CA276" s="27"/>
      <c r="CB276" s="27"/>
      <c r="CC276" s="27"/>
      <c r="CD276" s="27"/>
      <c r="CE276" s="27"/>
      <c r="CF276" s="27"/>
      <c r="CG276" s="27"/>
      <c r="CH276" s="27"/>
      <c r="CI276" s="27"/>
      <c r="CJ276" s="27"/>
    </row>
    <row r="277" spans="4:88" x14ac:dyDescent="0.25"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27"/>
      <c r="AW277" s="27"/>
      <c r="AX277" s="27"/>
      <c r="AY277" s="27"/>
      <c r="AZ277" s="27"/>
      <c r="BA277" s="27"/>
      <c r="BB277" s="27"/>
      <c r="BC277" s="27"/>
      <c r="BD277" s="27"/>
      <c r="BE277" s="27"/>
      <c r="BF277" s="27"/>
      <c r="BG277" s="27"/>
      <c r="BH277" s="27"/>
      <c r="BI277" s="27"/>
      <c r="BJ277" s="27"/>
      <c r="BK277" s="27"/>
      <c r="BL277" s="27"/>
      <c r="BM277" s="27"/>
      <c r="BN277" s="27"/>
      <c r="BO277" s="27"/>
      <c r="BP277" s="27"/>
      <c r="BQ277" s="27"/>
      <c r="BR277" s="27"/>
      <c r="BS277" s="27"/>
      <c r="BT277" s="27"/>
      <c r="BU277" s="27"/>
      <c r="BV277" s="27"/>
      <c r="BW277" s="27"/>
      <c r="BX277" s="27"/>
      <c r="BY277" s="27"/>
      <c r="BZ277" s="27"/>
      <c r="CA277" s="27"/>
      <c r="CB277" s="27"/>
      <c r="CC277" s="27"/>
      <c r="CD277" s="27"/>
      <c r="CE277" s="27"/>
      <c r="CF277" s="27"/>
      <c r="CG277" s="27"/>
      <c r="CH277" s="27"/>
      <c r="CI277" s="27"/>
      <c r="CJ277" s="27"/>
    </row>
    <row r="278" spans="4:88" x14ac:dyDescent="0.25"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  <c r="AW278" s="27"/>
      <c r="AX278" s="27"/>
      <c r="AY278" s="27"/>
      <c r="AZ278" s="27"/>
      <c r="BA278" s="27"/>
      <c r="BB278" s="27"/>
      <c r="BC278" s="27"/>
      <c r="BD278" s="27"/>
      <c r="BE278" s="27"/>
      <c r="BF278" s="27"/>
      <c r="BG278" s="27"/>
      <c r="BH278" s="27"/>
      <c r="BI278" s="27"/>
      <c r="BJ278" s="27"/>
      <c r="BK278" s="27"/>
      <c r="BL278" s="27"/>
      <c r="BM278" s="27"/>
      <c r="BN278" s="27"/>
      <c r="BO278" s="27"/>
      <c r="BP278" s="27"/>
      <c r="BQ278" s="27"/>
      <c r="BR278" s="27"/>
      <c r="BS278" s="27"/>
      <c r="BT278" s="27"/>
      <c r="BU278" s="27"/>
      <c r="BV278" s="27"/>
      <c r="BW278" s="27"/>
      <c r="BX278" s="27"/>
      <c r="BY278" s="27"/>
      <c r="BZ278" s="27"/>
      <c r="CA278" s="27"/>
      <c r="CB278" s="27"/>
      <c r="CC278" s="27"/>
      <c r="CD278" s="27"/>
      <c r="CE278" s="27"/>
      <c r="CF278" s="27"/>
      <c r="CG278" s="27"/>
      <c r="CH278" s="27"/>
      <c r="CI278" s="27"/>
      <c r="CJ278" s="27"/>
    </row>
    <row r="279" spans="4:88" x14ac:dyDescent="0.25"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  <c r="AW279" s="27"/>
      <c r="AX279" s="27"/>
      <c r="AY279" s="27"/>
      <c r="AZ279" s="27"/>
      <c r="BA279" s="27"/>
      <c r="BB279" s="27"/>
      <c r="BC279" s="27"/>
      <c r="BD279" s="27"/>
      <c r="BE279" s="27"/>
      <c r="BF279" s="27"/>
      <c r="BG279" s="27"/>
      <c r="BH279" s="27"/>
      <c r="BI279" s="27"/>
      <c r="BJ279" s="27"/>
      <c r="BK279" s="27"/>
      <c r="BL279" s="27"/>
      <c r="BM279" s="27"/>
      <c r="BN279" s="27"/>
      <c r="BO279" s="27"/>
      <c r="BP279" s="27"/>
      <c r="BQ279" s="27"/>
      <c r="BR279" s="27"/>
      <c r="BS279" s="27"/>
      <c r="BT279" s="27"/>
      <c r="BU279" s="27"/>
      <c r="BV279" s="27"/>
      <c r="BW279" s="27"/>
      <c r="BX279" s="27"/>
      <c r="BY279" s="27"/>
      <c r="BZ279" s="27"/>
      <c r="CA279" s="27"/>
      <c r="CB279" s="27"/>
      <c r="CC279" s="27"/>
      <c r="CD279" s="27"/>
      <c r="CE279" s="27"/>
      <c r="CF279" s="27"/>
      <c r="CG279" s="27"/>
      <c r="CH279" s="27"/>
      <c r="CI279" s="27"/>
      <c r="CJ279" s="27"/>
    </row>
    <row r="280" spans="4:88" x14ac:dyDescent="0.25"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27"/>
      <c r="BC280" s="27"/>
      <c r="BD280" s="27"/>
      <c r="BE280" s="27"/>
      <c r="BF280" s="27"/>
      <c r="BG280" s="27"/>
      <c r="BH280" s="27"/>
      <c r="BI280" s="27"/>
      <c r="BJ280" s="27"/>
      <c r="BK280" s="27"/>
      <c r="BL280" s="27"/>
      <c r="BM280" s="27"/>
      <c r="BN280" s="27"/>
      <c r="BO280" s="27"/>
      <c r="BP280" s="27"/>
      <c r="BQ280" s="27"/>
      <c r="BR280" s="27"/>
      <c r="BS280" s="27"/>
      <c r="BT280" s="27"/>
      <c r="BU280" s="27"/>
      <c r="BV280" s="27"/>
      <c r="BW280" s="27"/>
      <c r="BX280" s="27"/>
      <c r="BY280" s="27"/>
      <c r="BZ280" s="27"/>
      <c r="CA280" s="27"/>
      <c r="CB280" s="27"/>
      <c r="CC280" s="27"/>
      <c r="CD280" s="27"/>
      <c r="CE280" s="27"/>
      <c r="CF280" s="27"/>
      <c r="CG280" s="27"/>
      <c r="CH280" s="27"/>
      <c r="CI280" s="27"/>
      <c r="CJ280" s="27"/>
    </row>
    <row r="281" spans="4:88" x14ac:dyDescent="0.25"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27"/>
      <c r="BB281" s="27"/>
      <c r="BC281" s="27"/>
      <c r="BD281" s="27"/>
      <c r="BE281" s="27"/>
      <c r="BF281" s="27"/>
      <c r="BG281" s="27"/>
      <c r="BH281" s="27"/>
      <c r="BI281" s="27"/>
      <c r="BJ281" s="27"/>
      <c r="BK281" s="27"/>
      <c r="BL281" s="27"/>
      <c r="BM281" s="27"/>
      <c r="BN281" s="27"/>
      <c r="BO281" s="27"/>
      <c r="BP281" s="27"/>
      <c r="BQ281" s="27"/>
      <c r="BR281" s="27"/>
      <c r="BS281" s="27"/>
      <c r="BT281" s="27"/>
      <c r="BU281" s="27"/>
      <c r="BV281" s="27"/>
      <c r="BW281" s="27"/>
      <c r="BX281" s="27"/>
      <c r="BY281" s="27"/>
      <c r="BZ281" s="27"/>
      <c r="CA281" s="27"/>
      <c r="CB281" s="27"/>
      <c r="CC281" s="27"/>
      <c r="CD281" s="27"/>
      <c r="CE281" s="27"/>
      <c r="CF281" s="27"/>
      <c r="CG281" s="27"/>
      <c r="CH281" s="27"/>
      <c r="CI281" s="27"/>
      <c r="CJ281" s="27"/>
    </row>
    <row r="282" spans="4:88" x14ac:dyDescent="0.25"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  <c r="AW282" s="27"/>
      <c r="AX282" s="27"/>
      <c r="AY282" s="27"/>
      <c r="AZ282" s="27"/>
      <c r="BA282" s="27"/>
      <c r="BB282" s="27"/>
      <c r="BC282" s="27"/>
      <c r="BD282" s="27"/>
      <c r="BE282" s="27"/>
      <c r="BF282" s="27"/>
      <c r="BG282" s="27"/>
      <c r="BH282" s="27"/>
      <c r="BI282" s="27"/>
      <c r="BJ282" s="27"/>
      <c r="BK282" s="27"/>
      <c r="BL282" s="27"/>
      <c r="BM282" s="27"/>
      <c r="BN282" s="27"/>
      <c r="BO282" s="27"/>
      <c r="BP282" s="27"/>
      <c r="BQ282" s="27"/>
      <c r="BR282" s="27"/>
      <c r="BS282" s="27"/>
      <c r="BT282" s="27"/>
      <c r="BU282" s="27"/>
      <c r="BV282" s="27"/>
      <c r="BW282" s="27"/>
      <c r="BX282" s="27"/>
      <c r="BY282" s="27"/>
      <c r="BZ282" s="27"/>
      <c r="CA282" s="27"/>
      <c r="CB282" s="27"/>
      <c r="CC282" s="27"/>
      <c r="CD282" s="27"/>
      <c r="CE282" s="27"/>
      <c r="CF282" s="27"/>
      <c r="CG282" s="27"/>
      <c r="CH282" s="27"/>
      <c r="CI282" s="27"/>
      <c r="CJ282" s="27"/>
    </row>
    <row r="283" spans="4:88" x14ac:dyDescent="0.25"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  <c r="AW283" s="27"/>
      <c r="AX283" s="27"/>
      <c r="AY283" s="27"/>
      <c r="AZ283" s="27"/>
      <c r="BA283" s="27"/>
      <c r="BB283" s="27"/>
      <c r="BC283" s="27"/>
      <c r="BD283" s="27"/>
      <c r="BE283" s="27"/>
      <c r="BF283" s="27"/>
      <c r="BG283" s="27"/>
      <c r="BH283" s="27"/>
      <c r="BI283" s="27"/>
      <c r="BJ283" s="27"/>
      <c r="BK283" s="27"/>
      <c r="BL283" s="27"/>
      <c r="BM283" s="27"/>
      <c r="BN283" s="27"/>
      <c r="BO283" s="27"/>
      <c r="BP283" s="27"/>
      <c r="BQ283" s="27"/>
      <c r="BR283" s="27"/>
      <c r="BS283" s="27"/>
      <c r="BT283" s="27"/>
      <c r="BU283" s="27"/>
      <c r="BV283" s="27"/>
      <c r="BW283" s="27"/>
      <c r="BX283" s="27"/>
      <c r="BY283" s="27"/>
      <c r="BZ283" s="27"/>
      <c r="CA283" s="27"/>
      <c r="CB283" s="27"/>
      <c r="CC283" s="27"/>
      <c r="CD283" s="27"/>
      <c r="CE283" s="27"/>
      <c r="CF283" s="27"/>
      <c r="CG283" s="27"/>
      <c r="CH283" s="27"/>
      <c r="CI283" s="27"/>
      <c r="CJ283" s="27"/>
    </row>
    <row r="284" spans="4:88" x14ac:dyDescent="0.25"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27"/>
      <c r="BB284" s="27"/>
      <c r="BC284" s="27"/>
      <c r="BD284" s="27"/>
      <c r="BE284" s="27"/>
      <c r="BF284" s="27"/>
      <c r="BG284" s="27"/>
      <c r="BH284" s="27"/>
      <c r="BI284" s="27"/>
      <c r="BJ284" s="27"/>
      <c r="BK284" s="27"/>
      <c r="BL284" s="27"/>
      <c r="BM284" s="27"/>
      <c r="BN284" s="27"/>
      <c r="BO284" s="27"/>
      <c r="BP284" s="27"/>
      <c r="BQ284" s="27"/>
      <c r="BR284" s="27"/>
      <c r="BS284" s="27"/>
      <c r="BT284" s="27"/>
      <c r="BU284" s="27"/>
      <c r="BV284" s="27"/>
      <c r="BW284" s="27"/>
      <c r="BX284" s="27"/>
      <c r="BY284" s="27"/>
      <c r="BZ284" s="27"/>
      <c r="CA284" s="27"/>
      <c r="CB284" s="27"/>
      <c r="CC284" s="27"/>
      <c r="CD284" s="27"/>
      <c r="CE284" s="27"/>
      <c r="CF284" s="27"/>
      <c r="CG284" s="27"/>
      <c r="CH284" s="27"/>
      <c r="CI284" s="27"/>
      <c r="CJ284" s="27"/>
    </row>
    <row r="285" spans="4:88" x14ac:dyDescent="0.25"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27"/>
      <c r="BB285" s="27"/>
      <c r="BC285" s="27"/>
      <c r="BD285" s="27"/>
      <c r="BE285" s="27"/>
      <c r="BF285" s="27"/>
      <c r="BG285" s="27"/>
      <c r="BH285" s="27"/>
      <c r="BI285" s="27"/>
      <c r="BJ285" s="27"/>
      <c r="BK285" s="27"/>
      <c r="BL285" s="27"/>
      <c r="BM285" s="27"/>
      <c r="BN285" s="27"/>
      <c r="BO285" s="27"/>
      <c r="BP285" s="27"/>
      <c r="BQ285" s="27"/>
      <c r="BR285" s="27"/>
      <c r="BS285" s="27"/>
      <c r="BT285" s="27"/>
      <c r="BU285" s="27"/>
      <c r="BV285" s="27"/>
      <c r="BW285" s="27"/>
      <c r="BX285" s="27"/>
      <c r="BY285" s="27"/>
      <c r="BZ285" s="27"/>
      <c r="CA285" s="27"/>
      <c r="CB285" s="27"/>
      <c r="CC285" s="27"/>
      <c r="CD285" s="27"/>
      <c r="CE285" s="27"/>
      <c r="CF285" s="27"/>
      <c r="CG285" s="27"/>
      <c r="CH285" s="27"/>
      <c r="CI285" s="27"/>
      <c r="CJ285" s="27"/>
    </row>
    <row r="286" spans="4:88" x14ac:dyDescent="0.25"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27"/>
      <c r="AX286" s="27"/>
      <c r="AY286" s="27"/>
      <c r="AZ286" s="27"/>
      <c r="BA286" s="27"/>
      <c r="BB286" s="27"/>
      <c r="BC286" s="27"/>
      <c r="BD286" s="27"/>
      <c r="BE286" s="27"/>
      <c r="BF286" s="27"/>
      <c r="BG286" s="27"/>
      <c r="BH286" s="27"/>
      <c r="BI286" s="27"/>
      <c r="BJ286" s="27"/>
      <c r="BK286" s="27"/>
      <c r="BL286" s="27"/>
      <c r="BM286" s="27"/>
      <c r="BN286" s="27"/>
      <c r="BO286" s="27"/>
      <c r="BP286" s="27"/>
      <c r="BQ286" s="27"/>
      <c r="BR286" s="27"/>
      <c r="BS286" s="27"/>
      <c r="BT286" s="27"/>
      <c r="BU286" s="27"/>
      <c r="BV286" s="27"/>
      <c r="BW286" s="27"/>
      <c r="BX286" s="27"/>
      <c r="BY286" s="27"/>
      <c r="BZ286" s="27"/>
      <c r="CA286" s="27"/>
      <c r="CB286" s="27"/>
      <c r="CC286" s="27"/>
      <c r="CD286" s="27"/>
      <c r="CE286" s="27"/>
      <c r="CF286" s="27"/>
      <c r="CG286" s="27"/>
      <c r="CH286" s="27"/>
      <c r="CI286" s="27"/>
      <c r="CJ286" s="27"/>
    </row>
    <row r="287" spans="4:88" x14ac:dyDescent="0.25"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27"/>
      <c r="AX287" s="27"/>
      <c r="AY287" s="27"/>
      <c r="AZ287" s="27"/>
      <c r="BA287" s="27"/>
      <c r="BB287" s="27"/>
      <c r="BC287" s="27"/>
      <c r="BD287" s="27"/>
      <c r="BE287" s="27"/>
      <c r="BF287" s="27"/>
      <c r="BG287" s="27"/>
      <c r="BH287" s="27"/>
      <c r="BI287" s="27"/>
      <c r="BJ287" s="27"/>
      <c r="BK287" s="27"/>
      <c r="BL287" s="27"/>
      <c r="BM287" s="27"/>
      <c r="BN287" s="27"/>
      <c r="BO287" s="27"/>
      <c r="BP287" s="27"/>
      <c r="BQ287" s="27"/>
      <c r="BR287" s="27"/>
      <c r="BS287" s="27"/>
      <c r="BT287" s="27"/>
      <c r="BU287" s="27"/>
      <c r="BV287" s="27"/>
      <c r="BW287" s="27"/>
      <c r="BX287" s="27"/>
      <c r="BY287" s="27"/>
      <c r="BZ287" s="27"/>
      <c r="CA287" s="27"/>
      <c r="CB287" s="27"/>
      <c r="CC287" s="27"/>
      <c r="CD287" s="27"/>
      <c r="CE287" s="27"/>
      <c r="CF287" s="27"/>
      <c r="CG287" s="27"/>
      <c r="CH287" s="27"/>
      <c r="CI287" s="27"/>
      <c r="CJ287" s="27"/>
    </row>
    <row r="288" spans="4:88" x14ac:dyDescent="0.25"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27"/>
      <c r="BB288" s="27"/>
      <c r="BC288" s="27"/>
      <c r="BD288" s="27"/>
      <c r="BE288" s="27"/>
      <c r="BF288" s="27"/>
      <c r="BG288" s="27"/>
      <c r="BH288" s="27"/>
      <c r="BI288" s="27"/>
      <c r="BJ288" s="27"/>
      <c r="BK288" s="27"/>
      <c r="BL288" s="27"/>
      <c r="BM288" s="27"/>
      <c r="BN288" s="27"/>
      <c r="BO288" s="27"/>
      <c r="BP288" s="27"/>
      <c r="BQ288" s="27"/>
      <c r="BR288" s="27"/>
      <c r="BS288" s="27"/>
      <c r="BT288" s="27"/>
      <c r="BU288" s="27"/>
      <c r="BV288" s="27"/>
      <c r="BW288" s="27"/>
      <c r="BX288" s="27"/>
      <c r="BY288" s="27"/>
      <c r="BZ288" s="27"/>
      <c r="CA288" s="27"/>
      <c r="CB288" s="27"/>
      <c r="CC288" s="27"/>
      <c r="CD288" s="27"/>
      <c r="CE288" s="27"/>
      <c r="CF288" s="27"/>
      <c r="CG288" s="27"/>
      <c r="CH288" s="27"/>
      <c r="CI288" s="27"/>
      <c r="CJ288" s="27"/>
    </row>
    <row r="289" spans="4:88" x14ac:dyDescent="0.25"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/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/>
      <c r="BP289" s="27"/>
      <c r="BQ289" s="27"/>
      <c r="BR289" s="27"/>
      <c r="BS289" s="27"/>
      <c r="BT289" s="27"/>
      <c r="BU289" s="27"/>
      <c r="BV289" s="27"/>
      <c r="BW289" s="27"/>
      <c r="BX289" s="27"/>
      <c r="BY289" s="27"/>
      <c r="BZ289" s="27"/>
      <c r="CA289" s="27"/>
      <c r="CB289" s="27"/>
      <c r="CC289" s="27"/>
      <c r="CD289" s="27"/>
      <c r="CE289" s="27"/>
      <c r="CF289" s="27"/>
      <c r="CG289" s="27"/>
      <c r="CH289" s="27"/>
      <c r="CI289" s="27"/>
      <c r="CJ289" s="27"/>
    </row>
    <row r="290" spans="4:88" x14ac:dyDescent="0.25"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27"/>
      <c r="AW290" s="27"/>
      <c r="AX290" s="27"/>
      <c r="AY290" s="27"/>
      <c r="AZ290" s="27"/>
      <c r="BA290" s="27"/>
      <c r="BB290" s="27"/>
      <c r="BC290" s="27"/>
      <c r="BD290" s="27"/>
      <c r="BE290" s="27"/>
      <c r="BF290" s="27"/>
      <c r="BG290" s="27"/>
      <c r="BH290" s="27"/>
      <c r="BI290" s="27"/>
      <c r="BJ290" s="27"/>
      <c r="BK290" s="27"/>
      <c r="BL290" s="27"/>
      <c r="BM290" s="27"/>
      <c r="BN290" s="27"/>
      <c r="BO290" s="27"/>
      <c r="BP290" s="27"/>
      <c r="BQ290" s="27"/>
      <c r="BR290" s="27"/>
      <c r="BS290" s="27"/>
      <c r="BT290" s="27"/>
      <c r="BU290" s="27"/>
      <c r="BV290" s="27"/>
      <c r="BW290" s="27"/>
      <c r="BX290" s="27"/>
      <c r="BY290" s="27"/>
      <c r="BZ290" s="27"/>
      <c r="CA290" s="27"/>
      <c r="CB290" s="27"/>
      <c r="CC290" s="27"/>
      <c r="CD290" s="27"/>
      <c r="CE290" s="27"/>
      <c r="CF290" s="27"/>
      <c r="CG290" s="27"/>
      <c r="CH290" s="27"/>
      <c r="CI290" s="27"/>
      <c r="CJ290" s="27"/>
    </row>
    <row r="291" spans="4:88" x14ac:dyDescent="0.25"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  <c r="AW291" s="27"/>
      <c r="AX291" s="27"/>
      <c r="AY291" s="27"/>
      <c r="AZ291" s="27"/>
      <c r="BA291" s="27"/>
      <c r="BB291" s="27"/>
      <c r="BC291" s="27"/>
      <c r="BD291" s="27"/>
      <c r="BE291" s="27"/>
      <c r="BF291" s="27"/>
      <c r="BG291" s="27"/>
      <c r="BH291" s="27"/>
      <c r="BI291" s="27"/>
      <c r="BJ291" s="27"/>
      <c r="BK291" s="27"/>
      <c r="BL291" s="27"/>
      <c r="BM291" s="27"/>
      <c r="BN291" s="27"/>
      <c r="BO291" s="27"/>
      <c r="BP291" s="27"/>
      <c r="BQ291" s="27"/>
      <c r="BR291" s="27"/>
      <c r="BS291" s="27"/>
      <c r="BT291" s="27"/>
      <c r="BU291" s="27"/>
      <c r="BV291" s="27"/>
      <c r="BW291" s="27"/>
      <c r="BX291" s="27"/>
      <c r="BY291" s="27"/>
      <c r="BZ291" s="27"/>
      <c r="CA291" s="27"/>
      <c r="CB291" s="27"/>
      <c r="CC291" s="27"/>
      <c r="CD291" s="27"/>
      <c r="CE291" s="27"/>
      <c r="CF291" s="27"/>
      <c r="CG291" s="27"/>
      <c r="CH291" s="27"/>
      <c r="CI291" s="27"/>
      <c r="CJ291" s="27"/>
    </row>
    <row r="292" spans="4:88" x14ac:dyDescent="0.25"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/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  <c r="BN292" s="27"/>
      <c r="BO292" s="27"/>
      <c r="BP292" s="27"/>
      <c r="BQ292" s="27"/>
      <c r="BR292" s="27"/>
      <c r="BS292" s="27"/>
      <c r="BT292" s="27"/>
      <c r="BU292" s="27"/>
      <c r="BV292" s="27"/>
      <c r="BW292" s="27"/>
      <c r="BX292" s="27"/>
      <c r="BY292" s="27"/>
      <c r="BZ292" s="27"/>
      <c r="CA292" s="27"/>
      <c r="CB292" s="27"/>
      <c r="CC292" s="27"/>
      <c r="CD292" s="27"/>
      <c r="CE292" s="27"/>
      <c r="CF292" s="27"/>
      <c r="CG292" s="27"/>
      <c r="CH292" s="27"/>
      <c r="CI292" s="27"/>
      <c r="CJ292" s="27"/>
    </row>
    <row r="293" spans="4:88" x14ac:dyDescent="0.25"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27"/>
      <c r="AW293" s="27"/>
      <c r="AX293" s="27"/>
      <c r="AY293" s="27"/>
      <c r="AZ293" s="27"/>
      <c r="BA293" s="27"/>
      <c r="BB293" s="27"/>
      <c r="BC293" s="27"/>
      <c r="BD293" s="27"/>
      <c r="BE293" s="27"/>
      <c r="BF293" s="27"/>
      <c r="BG293" s="27"/>
      <c r="BH293" s="27"/>
      <c r="BI293" s="27"/>
      <c r="BJ293" s="27"/>
      <c r="BK293" s="27"/>
      <c r="BL293" s="27"/>
      <c r="BM293" s="27"/>
      <c r="BN293" s="27"/>
      <c r="BO293" s="27"/>
      <c r="BP293" s="27"/>
      <c r="BQ293" s="27"/>
      <c r="BR293" s="27"/>
      <c r="BS293" s="27"/>
      <c r="BT293" s="27"/>
      <c r="BU293" s="27"/>
      <c r="BV293" s="27"/>
      <c r="BW293" s="27"/>
      <c r="BX293" s="27"/>
      <c r="BY293" s="27"/>
      <c r="BZ293" s="27"/>
      <c r="CA293" s="27"/>
      <c r="CB293" s="27"/>
      <c r="CC293" s="27"/>
      <c r="CD293" s="27"/>
      <c r="CE293" s="27"/>
      <c r="CF293" s="27"/>
      <c r="CG293" s="27"/>
      <c r="CH293" s="27"/>
      <c r="CI293" s="27"/>
      <c r="CJ293" s="27"/>
    </row>
    <row r="294" spans="4:88" x14ac:dyDescent="0.25"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27"/>
      <c r="AW294" s="27"/>
      <c r="AX294" s="27"/>
      <c r="AY294" s="27"/>
      <c r="AZ294" s="27"/>
      <c r="BA294" s="27"/>
      <c r="BB294" s="27"/>
      <c r="BC294" s="27"/>
      <c r="BD294" s="27"/>
      <c r="BE294" s="27"/>
      <c r="BF294" s="27"/>
      <c r="BG294" s="27"/>
      <c r="BH294" s="27"/>
      <c r="BI294" s="27"/>
      <c r="BJ294" s="27"/>
      <c r="BK294" s="27"/>
      <c r="BL294" s="27"/>
      <c r="BM294" s="27"/>
      <c r="BN294" s="27"/>
      <c r="BO294" s="27"/>
      <c r="BP294" s="27"/>
      <c r="BQ294" s="27"/>
      <c r="BR294" s="27"/>
      <c r="BS294" s="27"/>
      <c r="BT294" s="27"/>
      <c r="BU294" s="27"/>
      <c r="BV294" s="27"/>
      <c r="BW294" s="27"/>
      <c r="BX294" s="27"/>
      <c r="BY294" s="27"/>
      <c r="BZ294" s="27"/>
      <c r="CA294" s="27"/>
      <c r="CB294" s="27"/>
      <c r="CC294" s="27"/>
      <c r="CD294" s="27"/>
      <c r="CE294" s="27"/>
      <c r="CF294" s="27"/>
      <c r="CG294" s="27"/>
      <c r="CH294" s="27"/>
      <c r="CI294" s="27"/>
      <c r="CJ294" s="27"/>
    </row>
    <row r="295" spans="4:88" x14ac:dyDescent="0.25"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  <c r="AW295" s="27"/>
      <c r="AX295" s="27"/>
      <c r="AY295" s="27"/>
      <c r="AZ295" s="27"/>
      <c r="BA295" s="27"/>
      <c r="BB295" s="27"/>
      <c r="BC295" s="27"/>
      <c r="BD295" s="27"/>
      <c r="BE295" s="27"/>
      <c r="BF295" s="27"/>
      <c r="BG295" s="27"/>
      <c r="BH295" s="27"/>
      <c r="BI295" s="27"/>
      <c r="BJ295" s="27"/>
      <c r="BK295" s="27"/>
      <c r="BL295" s="27"/>
      <c r="BM295" s="27"/>
      <c r="BN295" s="27"/>
      <c r="BO295" s="27"/>
      <c r="BP295" s="27"/>
      <c r="BQ295" s="27"/>
      <c r="BR295" s="27"/>
      <c r="BS295" s="27"/>
      <c r="BT295" s="27"/>
      <c r="BU295" s="27"/>
      <c r="BV295" s="27"/>
      <c r="BW295" s="27"/>
      <c r="BX295" s="27"/>
      <c r="BY295" s="27"/>
      <c r="BZ295" s="27"/>
      <c r="CA295" s="27"/>
      <c r="CB295" s="27"/>
      <c r="CC295" s="27"/>
      <c r="CD295" s="27"/>
      <c r="CE295" s="27"/>
      <c r="CF295" s="27"/>
      <c r="CG295" s="27"/>
      <c r="CH295" s="27"/>
      <c r="CI295" s="27"/>
      <c r="CJ295" s="27"/>
    </row>
    <row r="296" spans="4:88" x14ac:dyDescent="0.25"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7"/>
      <c r="AW296" s="27"/>
      <c r="AX296" s="27"/>
      <c r="AY296" s="27"/>
      <c r="AZ296" s="27"/>
      <c r="BA296" s="27"/>
      <c r="BB296" s="27"/>
      <c r="BC296" s="27"/>
      <c r="BD296" s="27"/>
      <c r="BE296" s="27"/>
      <c r="BF296" s="27"/>
      <c r="BG296" s="27"/>
      <c r="BH296" s="27"/>
      <c r="BI296" s="27"/>
      <c r="BJ296" s="27"/>
      <c r="BK296" s="27"/>
      <c r="BL296" s="27"/>
      <c r="BM296" s="27"/>
      <c r="BN296" s="27"/>
      <c r="BO296" s="27"/>
      <c r="BP296" s="27"/>
      <c r="BQ296" s="27"/>
      <c r="BR296" s="27"/>
      <c r="BS296" s="27"/>
      <c r="BT296" s="27"/>
      <c r="BU296" s="27"/>
      <c r="BV296" s="27"/>
      <c r="BW296" s="27"/>
      <c r="BX296" s="27"/>
      <c r="BY296" s="27"/>
      <c r="BZ296" s="27"/>
      <c r="CA296" s="27"/>
      <c r="CB296" s="27"/>
      <c r="CC296" s="27"/>
      <c r="CD296" s="27"/>
      <c r="CE296" s="27"/>
      <c r="CF296" s="27"/>
      <c r="CG296" s="27"/>
      <c r="CH296" s="27"/>
      <c r="CI296" s="27"/>
      <c r="CJ296" s="27"/>
    </row>
    <row r="297" spans="4:88" x14ac:dyDescent="0.25"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  <c r="AW297" s="27"/>
      <c r="AX297" s="27"/>
      <c r="AY297" s="27"/>
      <c r="AZ297" s="27"/>
      <c r="BA297" s="27"/>
      <c r="BB297" s="27"/>
      <c r="BC297" s="27"/>
      <c r="BD297" s="27"/>
      <c r="BE297" s="27"/>
      <c r="BF297" s="27"/>
      <c r="BG297" s="27"/>
      <c r="BH297" s="27"/>
      <c r="BI297" s="27"/>
      <c r="BJ297" s="27"/>
      <c r="BK297" s="27"/>
      <c r="BL297" s="27"/>
      <c r="BM297" s="27"/>
      <c r="BN297" s="27"/>
      <c r="BO297" s="27"/>
      <c r="BP297" s="27"/>
      <c r="BQ297" s="27"/>
      <c r="BR297" s="27"/>
      <c r="BS297" s="27"/>
      <c r="BT297" s="27"/>
      <c r="BU297" s="27"/>
      <c r="BV297" s="27"/>
      <c r="BW297" s="27"/>
      <c r="BX297" s="27"/>
      <c r="BY297" s="27"/>
      <c r="BZ297" s="27"/>
      <c r="CA297" s="27"/>
      <c r="CB297" s="27"/>
      <c r="CC297" s="27"/>
      <c r="CD297" s="27"/>
      <c r="CE297" s="27"/>
      <c r="CF297" s="27"/>
      <c r="CG297" s="27"/>
      <c r="CH297" s="27"/>
      <c r="CI297" s="27"/>
      <c r="CJ297" s="27"/>
    </row>
    <row r="298" spans="4:88" x14ac:dyDescent="0.25"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  <c r="AW298" s="27"/>
      <c r="AX298" s="27"/>
      <c r="AY298" s="27"/>
      <c r="AZ298" s="27"/>
      <c r="BA298" s="27"/>
      <c r="BB298" s="27"/>
      <c r="BC298" s="27"/>
      <c r="BD298" s="27"/>
      <c r="BE298" s="27"/>
      <c r="BF298" s="27"/>
      <c r="BG298" s="27"/>
      <c r="BH298" s="27"/>
      <c r="BI298" s="27"/>
      <c r="BJ298" s="27"/>
      <c r="BK298" s="27"/>
      <c r="BL298" s="27"/>
      <c r="BM298" s="27"/>
      <c r="BN298" s="27"/>
      <c r="BO298" s="27"/>
      <c r="BP298" s="27"/>
      <c r="BQ298" s="27"/>
      <c r="BR298" s="27"/>
      <c r="BS298" s="27"/>
      <c r="BT298" s="27"/>
      <c r="BU298" s="27"/>
      <c r="BV298" s="27"/>
      <c r="BW298" s="27"/>
      <c r="BX298" s="27"/>
      <c r="BY298" s="27"/>
      <c r="BZ298" s="27"/>
      <c r="CA298" s="27"/>
      <c r="CB298" s="27"/>
      <c r="CC298" s="27"/>
      <c r="CD298" s="27"/>
      <c r="CE298" s="27"/>
      <c r="CF298" s="27"/>
      <c r="CG298" s="27"/>
      <c r="CH298" s="27"/>
      <c r="CI298" s="27"/>
      <c r="CJ298" s="27"/>
    </row>
    <row r="299" spans="4:88" x14ac:dyDescent="0.25"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  <c r="AX299" s="27"/>
      <c r="AY299" s="27"/>
      <c r="AZ299" s="27"/>
      <c r="BA299" s="27"/>
      <c r="BB299" s="27"/>
      <c r="BC299" s="27"/>
      <c r="BD299" s="27"/>
      <c r="BE299" s="27"/>
      <c r="BF299" s="27"/>
      <c r="BG299" s="27"/>
      <c r="BH299" s="27"/>
      <c r="BI299" s="27"/>
      <c r="BJ299" s="27"/>
      <c r="BK299" s="27"/>
      <c r="BL299" s="27"/>
      <c r="BM299" s="27"/>
      <c r="BN299" s="27"/>
      <c r="BO299" s="27"/>
      <c r="BP299" s="27"/>
      <c r="BQ299" s="27"/>
      <c r="BR299" s="27"/>
      <c r="BS299" s="27"/>
      <c r="BT299" s="27"/>
      <c r="BU299" s="27"/>
      <c r="BV299" s="27"/>
      <c r="BW299" s="27"/>
      <c r="BX299" s="27"/>
      <c r="BY299" s="27"/>
      <c r="BZ299" s="27"/>
      <c r="CA299" s="27"/>
      <c r="CB299" s="27"/>
      <c r="CC299" s="27"/>
      <c r="CD299" s="27"/>
      <c r="CE299" s="27"/>
      <c r="CF299" s="27"/>
      <c r="CG299" s="27"/>
      <c r="CH299" s="27"/>
      <c r="CI299" s="27"/>
      <c r="CJ299" s="27"/>
    </row>
    <row r="300" spans="4:88" x14ac:dyDescent="0.25"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  <c r="AW300" s="27"/>
      <c r="AX300" s="27"/>
      <c r="AY300" s="27"/>
      <c r="AZ300" s="27"/>
      <c r="BA300" s="27"/>
      <c r="BB300" s="27"/>
      <c r="BC300" s="27"/>
      <c r="BD300" s="27"/>
      <c r="BE300" s="27"/>
      <c r="BF300" s="27"/>
      <c r="BG300" s="27"/>
      <c r="BH300" s="27"/>
      <c r="BI300" s="27"/>
      <c r="BJ300" s="27"/>
      <c r="BK300" s="27"/>
      <c r="BL300" s="27"/>
      <c r="BM300" s="27"/>
      <c r="BN300" s="27"/>
      <c r="BO300" s="27"/>
      <c r="BP300" s="27"/>
      <c r="BQ300" s="27"/>
      <c r="BR300" s="27"/>
      <c r="BS300" s="27"/>
      <c r="BT300" s="27"/>
      <c r="BU300" s="27"/>
      <c r="BV300" s="27"/>
      <c r="BW300" s="27"/>
      <c r="BX300" s="27"/>
      <c r="BY300" s="27"/>
      <c r="BZ300" s="27"/>
      <c r="CA300" s="27"/>
      <c r="CB300" s="27"/>
      <c r="CC300" s="27"/>
      <c r="CD300" s="27"/>
      <c r="CE300" s="27"/>
      <c r="CF300" s="27"/>
      <c r="CG300" s="27"/>
      <c r="CH300" s="27"/>
      <c r="CI300" s="27"/>
      <c r="CJ300" s="27"/>
    </row>
    <row r="301" spans="4:88" x14ac:dyDescent="0.25"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  <c r="AV301" s="27"/>
      <c r="AW301" s="27"/>
      <c r="AX301" s="27"/>
      <c r="AY301" s="27"/>
      <c r="AZ301" s="27"/>
      <c r="BA301" s="27"/>
      <c r="BB301" s="27"/>
      <c r="BC301" s="27"/>
      <c r="BD301" s="27"/>
      <c r="BE301" s="27"/>
      <c r="BF301" s="27"/>
      <c r="BG301" s="27"/>
      <c r="BH301" s="27"/>
      <c r="BI301" s="27"/>
      <c r="BJ301" s="27"/>
      <c r="BK301" s="27"/>
      <c r="BL301" s="27"/>
      <c r="BM301" s="27"/>
      <c r="BN301" s="27"/>
      <c r="BO301" s="27"/>
      <c r="BP301" s="27"/>
      <c r="BQ301" s="27"/>
      <c r="BR301" s="27"/>
      <c r="BS301" s="27"/>
      <c r="BT301" s="27"/>
      <c r="BU301" s="27"/>
      <c r="BV301" s="27"/>
      <c r="BW301" s="27"/>
      <c r="BX301" s="27"/>
      <c r="BY301" s="27"/>
      <c r="BZ301" s="27"/>
      <c r="CA301" s="27"/>
      <c r="CB301" s="27"/>
      <c r="CC301" s="27"/>
      <c r="CD301" s="27"/>
      <c r="CE301" s="27"/>
      <c r="CF301" s="27"/>
      <c r="CG301" s="27"/>
      <c r="CH301" s="27"/>
      <c r="CI301" s="27"/>
      <c r="CJ301" s="27"/>
    </row>
    <row r="302" spans="4:88" x14ac:dyDescent="0.25"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27"/>
      <c r="AW302" s="27"/>
      <c r="AX302" s="27"/>
      <c r="AY302" s="27"/>
      <c r="AZ302" s="27"/>
      <c r="BA302" s="27"/>
      <c r="BB302" s="27"/>
      <c r="BC302" s="27"/>
      <c r="BD302" s="27"/>
      <c r="BE302" s="27"/>
      <c r="BF302" s="27"/>
      <c r="BG302" s="27"/>
      <c r="BH302" s="27"/>
      <c r="BI302" s="27"/>
      <c r="BJ302" s="27"/>
      <c r="BK302" s="27"/>
      <c r="BL302" s="27"/>
      <c r="BM302" s="27"/>
      <c r="BN302" s="27"/>
      <c r="BO302" s="27"/>
      <c r="BP302" s="27"/>
      <c r="BQ302" s="27"/>
      <c r="BR302" s="27"/>
      <c r="BS302" s="27"/>
      <c r="BT302" s="27"/>
      <c r="BU302" s="27"/>
      <c r="BV302" s="27"/>
      <c r="BW302" s="27"/>
      <c r="BX302" s="27"/>
      <c r="BY302" s="27"/>
      <c r="BZ302" s="27"/>
      <c r="CA302" s="27"/>
      <c r="CB302" s="27"/>
      <c r="CC302" s="27"/>
      <c r="CD302" s="27"/>
      <c r="CE302" s="27"/>
      <c r="CF302" s="27"/>
      <c r="CG302" s="27"/>
      <c r="CH302" s="27"/>
      <c r="CI302" s="27"/>
      <c r="CJ302" s="27"/>
    </row>
  </sheetData>
  <mergeCells count="1">
    <mergeCell ref="J2:V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EB3841-CC9E-4169-ACFB-1823E2A9A7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Assets</vt:lpstr>
      <vt:lpstr>Base</vt:lpstr>
      <vt:lpstr>Cálculos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Kauan Da Silva Terrão</dc:creator>
  <cp:lastModifiedBy>Kauan Da Silva Terrão</cp:lastModifiedBy>
  <dcterms:created xsi:type="dcterms:W3CDTF">2025-12-28T18:00:08Z</dcterms:created>
  <dcterms:modified xsi:type="dcterms:W3CDTF">2025-12-29T03:19:44Z</dcterms:modified>
</cp:coreProperties>
</file>